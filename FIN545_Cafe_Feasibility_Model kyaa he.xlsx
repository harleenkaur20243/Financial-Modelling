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00_Cover" sheetId="1" r:id="rId1"/>
    <sheet name="01_Project_Definition" sheetId="2" r:id="rId2"/>
    <sheet name="02_Data_Sources" sheetId="3" r:id="rId3"/>
    <sheet name="03_AI_Research_Log" sheetId="4" r:id="rId4"/>
    <sheet name="04_Assumptions" sheetId="5" r:id="rId5"/>
    <sheet name="05_Operating_Drivers" sheetId="6" r:id="rId6"/>
    <sheet name="06_Investment_Funding" sheetId="7" r:id="rId7"/>
    <sheet name="07_Revenue_Model" sheetId="8" r:id="rId8"/>
    <sheet name="08_Cost_Model" sheetId="9" r:id="rId9"/>
    <sheet name="09_Assets_Depreciation" sheetId="10" r:id="rId10"/>
    <sheet name="10_Debt_Schedule" sheetId="11" r:id="rId11"/>
    <sheet name="11_Working_Capital" sheetId="12" r:id="rId12"/>
    <sheet name="12_Income_Statement" sheetId="13" r:id="rId13"/>
    <sheet name="13_Cash_Flow" sheetId="14" r:id="rId14"/>
    <sheet name="14_Balance_Sheet" sheetId="15" r:id="rId15"/>
    <sheet name="15_Project_FCF" sheetId="16" r:id="rId16"/>
    <sheet name="16_Appraisal" sheetId="17" r:id="rId17"/>
    <sheet name="17_Break_Even" sheetId="18" r:id="rId18"/>
    <sheet name="18_Scenarios" sheetId="19" r:id="rId19"/>
    <sheet name="19_Sensitivity" sheetId="20" r:id="rId20"/>
    <sheet name="20_Dashboard" sheetId="21" r:id="rId21"/>
    <sheet name="21_Report_Pitch" sheetId="22" r:id="rId22"/>
    <sheet name="22_QA_Viva" sheetId="23" r:id="rId2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3"/>
  <c r="B9" i="21"/>
  <c r="B13"/>
  <c r="B14"/>
  <c r="G13" i="20"/>
  <c r="F13"/>
  <c r="E13"/>
  <c r="D13"/>
  <c r="C13"/>
  <c r="C17" i="16"/>
  <c r="C34" i="19" s="1"/>
  <c r="C13" i="15"/>
  <c r="C9"/>
  <c r="C8"/>
  <c r="H17" i="14"/>
  <c r="G17"/>
  <c r="F17"/>
  <c r="E17"/>
  <c r="D17"/>
  <c r="H12"/>
  <c r="G12"/>
  <c r="F12"/>
  <c r="E12"/>
  <c r="D12"/>
  <c r="C9"/>
  <c r="H10" i="12"/>
  <c r="G10"/>
  <c r="F10"/>
  <c r="E10"/>
  <c r="D10"/>
  <c r="H9"/>
  <c r="G9"/>
  <c r="F9"/>
  <c r="E9"/>
  <c r="D9"/>
  <c r="H8"/>
  <c r="G8"/>
  <c r="F8"/>
  <c r="E8"/>
  <c r="D8"/>
  <c r="H10" i="11"/>
  <c r="G10"/>
  <c r="F10"/>
  <c r="E10"/>
  <c r="D10"/>
  <c r="C9" i="10"/>
  <c r="C8"/>
  <c r="C7"/>
  <c r="C6"/>
  <c r="C5"/>
  <c r="H20" i="9"/>
  <c r="G20"/>
  <c r="F20"/>
  <c r="E20"/>
  <c r="D20"/>
  <c r="H19"/>
  <c r="G19"/>
  <c r="F19"/>
  <c r="E19"/>
  <c r="D19"/>
  <c r="H18"/>
  <c r="G18"/>
  <c r="F18"/>
  <c r="E18"/>
  <c r="D18"/>
  <c r="H17"/>
  <c r="G17"/>
  <c r="F17"/>
  <c r="E17"/>
  <c r="D17"/>
  <c r="H16"/>
  <c r="G16"/>
  <c r="F16"/>
  <c r="E16"/>
  <c r="D16"/>
  <c r="H15"/>
  <c r="G15"/>
  <c r="F15"/>
  <c r="E15"/>
  <c r="D15"/>
  <c r="H13"/>
  <c r="G13"/>
  <c r="F13"/>
  <c r="E13"/>
  <c r="D13"/>
  <c r="B13" i="7"/>
  <c r="H7" i="15" s="1"/>
  <c r="B10" i="7"/>
  <c r="B9"/>
  <c r="B8"/>
  <c r="B8" i="10" s="1"/>
  <c r="B7" i="7"/>
  <c r="B7" i="10" s="1"/>
  <c r="B6" i="7"/>
  <c r="B6" i="10" s="1"/>
  <c r="B5" i="7"/>
  <c r="B5" i="10" s="1"/>
  <c r="H10" i="6"/>
  <c r="H20" i="18" s="1"/>
  <c r="G10" i="6"/>
  <c r="G20" i="18" s="1"/>
  <c r="F10" i="6"/>
  <c r="F8" i="8" s="1"/>
  <c r="E10" i="6"/>
  <c r="E20" i="18" s="1"/>
  <c r="D10" i="6"/>
  <c r="D20" i="18" s="1"/>
  <c r="H8" i="6"/>
  <c r="G8"/>
  <c r="F8"/>
  <c r="E8"/>
  <c r="D8"/>
  <c r="H7"/>
  <c r="H9" s="1"/>
  <c r="H7" i="8" s="1"/>
  <c r="G7" i="6"/>
  <c r="F7"/>
  <c r="E7"/>
  <c r="E9" s="1"/>
  <c r="E7" i="8" s="1"/>
  <c r="D7" i="6"/>
  <c r="D9" s="1"/>
  <c r="D7" i="8" s="1"/>
  <c r="H6" i="6"/>
  <c r="G6"/>
  <c r="G6" i="8" s="1"/>
  <c r="F6" i="6"/>
  <c r="F6" i="8" s="1"/>
  <c r="E6" i="6"/>
  <c r="D6"/>
  <c r="C74" i="5"/>
  <c r="C6" i="17" s="1"/>
  <c r="C73" i="5"/>
  <c r="C72"/>
  <c r="C22"/>
  <c r="E12" i="9" s="1"/>
  <c r="E11" i="6" l="1"/>
  <c r="D11"/>
  <c r="H11"/>
  <c r="G9"/>
  <c r="F9"/>
  <c r="F20" i="18"/>
  <c r="E6" i="8"/>
  <c r="C35" i="19"/>
  <c r="E12" i="6"/>
  <c r="E24" i="18" s="1"/>
  <c r="E6" i="9"/>
  <c r="F17" i="10"/>
  <c r="C24"/>
  <c r="E17"/>
  <c r="E7"/>
  <c r="G7" s="1"/>
  <c r="C8" i="22"/>
  <c r="B13" i="18"/>
  <c r="D6" i="9"/>
  <c r="D14" s="1"/>
  <c r="D12" i="6"/>
  <c r="D24" i="18" s="1"/>
  <c r="H12" i="6"/>
  <c r="H24" i="18" s="1"/>
  <c r="H6" i="9"/>
  <c r="G11" i="6"/>
  <c r="G7" i="8"/>
  <c r="F16" i="10"/>
  <c r="C23"/>
  <c r="G16"/>
  <c r="E6"/>
  <c r="F6" s="1"/>
  <c r="H16"/>
  <c r="C25"/>
  <c r="E18"/>
  <c r="E8"/>
  <c r="G8" s="1"/>
  <c r="B11" i="21"/>
  <c r="C28" i="23"/>
  <c r="H10" i="17"/>
  <c r="D10"/>
  <c r="E10"/>
  <c r="C10"/>
  <c r="F10"/>
  <c r="G10"/>
  <c r="F7" i="8"/>
  <c r="F11" i="6"/>
  <c r="E5" i="10"/>
  <c r="F5" s="1"/>
  <c r="C22"/>
  <c r="D18"/>
  <c r="G17"/>
  <c r="F9" i="8"/>
  <c r="F11" s="1"/>
  <c r="H15" i="10"/>
  <c r="D8" i="8"/>
  <c r="D12" i="9"/>
  <c r="D21" s="1"/>
  <c r="G15" i="10"/>
  <c r="H18"/>
  <c r="C7" i="15"/>
  <c r="D6" i="8"/>
  <c r="H6"/>
  <c r="F12" i="9"/>
  <c r="F15" i="10"/>
  <c r="E16"/>
  <c r="D17"/>
  <c r="H17"/>
  <c r="G18"/>
  <c r="C8" i="17"/>
  <c r="E7" i="15"/>
  <c r="H16" i="16"/>
  <c r="F7" i="15"/>
  <c r="H8" i="8"/>
  <c r="H12" i="9"/>
  <c r="G8" i="8"/>
  <c r="G12" i="9"/>
  <c r="B11" i="7"/>
  <c r="B12" s="1"/>
  <c r="E8" i="8"/>
  <c r="E9" s="1"/>
  <c r="E11" s="1"/>
  <c r="E15" i="10"/>
  <c r="D16"/>
  <c r="F18"/>
  <c r="G7" i="15"/>
  <c r="D15" i="10"/>
  <c r="D7" i="15"/>
  <c r="B5" i="18"/>
  <c r="C364" i="20"/>
  <c r="C284"/>
  <c r="C204"/>
  <c r="C424"/>
  <c r="C344"/>
  <c r="C264"/>
  <c r="C184"/>
  <c r="C404"/>
  <c r="C324"/>
  <c r="C244"/>
  <c r="C384"/>
  <c r="C304"/>
  <c r="C224"/>
  <c r="C84"/>
  <c r="C144"/>
  <c r="C64"/>
  <c r="C124"/>
  <c r="C44"/>
  <c r="C74" i="19"/>
  <c r="C18" i="16"/>
  <c r="C164" i="20"/>
  <c r="C104"/>
  <c r="C54" i="19"/>
  <c r="G5" i="10" l="1"/>
  <c r="G6"/>
  <c r="G9" i="8"/>
  <c r="G11" s="1"/>
  <c r="E14" i="9"/>
  <c r="E21" s="1"/>
  <c r="H21"/>
  <c r="B9" i="10"/>
  <c r="H14" i="9"/>
  <c r="C11" i="14"/>
  <c r="C12" s="1"/>
  <c r="G353" i="20"/>
  <c r="G273"/>
  <c r="G193"/>
  <c r="G413"/>
  <c r="G333"/>
  <c r="G253"/>
  <c r="G173"/>
  <c r="G393"/>
  <c r="G313"/>
  <c r="G233"/>
  <c r="G373"/>
  <c r="G293"/>
  <c r="G213"/>
  <c r="G153"/>
  <c r="G73"/>
  <c r="G133"/>
  <c r="G113"/>
  <c r="G33"/>
  <c r="G63" i="19"/>
  <c r="G93" i="20"/>
  <c r="G43" i="19"/>
  <c r="G6" i="13"/>
  <c r="G53" i="20"/>
  <c r="G23" i="19"/>
  <c r="G12" i="8"/>
  <c r="G7" i="9"/>
  <c r="G9" s="1"/>
  <c r="G8"/>
  <c r="G6" i="12"/>
  <c r="G11" s="1"/>
  <c r="E393" i="20"/>
  <c r="E313"/>
  <c r="E233"/>
  <c r="E373"/>
  <c r="E293"/>
  <c r="E213"/>
  <c r="E353"/>
  <c r="E273"/>
  <c r="E193"/>
  <c r="E413"/>
  <c r="E333"/>
  <c r="E253"/>
  <c r="E173"/>
  <c r="E113"/>
  <c r="E93"/>
  <c r="E153"/>
  <c r="E73"/>
  <c r="E23" i="19"/>
  <c r="E133" i="20"/>
  <c r="E53"/>
  <c r="E63" i="19"/>
  <c r="E33" i="20"/>
  <c r="E43" i="19"/>
  <c r="E6" i="12"/>
  <c r="E11" s="1"/>
  <c r="E7" i="9"/>
  <c r="E6" i="13"/>
  <c r="E8" i="9"/>
  <c r="C305" i="20"/>
  <c r="C425"/>
  <c r="E355"/>
  <c r="E275"/>
  <c r="E195"/>
  <c r="E415"/>
  <c r="E335"/>
  <c r="E255"/>
  <c r="E175"/>
  <c r="E395"/>
  <c r="E315"/>
  <c r="E235"/>
  <c r="E375"/>
  <c r="E295"/>
  <c r="E215"/>
  <c r="E155"/>
  <c r="E75"/>
  <c r="E135"/>
  <c r="E115"/>
  <c r="E35"/>
  <c r="E65" i="19"/>
  <c r="E95" i="20"/>
  <c r="E45" i="19"/>
  <c r="E22" i="18"/>
  <c r="E55" i="20"/>
  <c r="E25" i="19"/>
  <c r="E9" i="13"/>
  <c r="C165" i="20"/>
  <c r="C125"/>
  <c r="C225"/>
  <c r="C325"/>
  <c r="C345"/>
  <c r="C365"/>
  <c r="H415"/>
  <c r="H335"/>
  <c r="H255"/>
  <c r="H175"/>
  <c r="H395"/>
  <c r="H315"/>
  <c r="H235"/>
  <c r="H375"/>
  <c r="H295"/>
  <c r="H215"/>
  <c r="H355"/>
  <c r="H275"/>
  <c r="H195"/>
  <c r="H135"/>
  <c r="H115"/>
  <c r="H95"/>
  <c r="H45" i="19"/>
  <c r="H155" i="20"/>
  <c r="H75"/>
  <c r="H25" i="19"/>
  <c r="H35" i="20"/>
  <c r="H9" i="13"/>
  <c r="H22" i="18"/>
  <c r="H55" i="20"/>
  <c r="H65" i="19"/>
  <c r="D415" i="20"/>
  <c r="D335"/>
  <c r="D255"/>
  <c r="D395"/>
  <c r="D315"/>
  <c r="D235"/>
  <c r="D375"/>
  <c r="D295"/>
  <c r="D215"/>
  <c r="D355"/>
  <c r="D275"/>
  <c r="D195"/>
  <c r="D135"/>
  <c r="D115"/>
  <c r="D175"/>
  <c r="D95"/>
  <c r="D45" i="19"/>
  <c r="D155" i="20"/>
  <c r="D75"/>
  <c r="D25" i="19"/>
  <c r="D22" i="18"/>
  <c r="D55" i="20"/>
  <c r="D65" i="19"/>
  <c r="D9" i="13"/>
  <c r="D35" i="20"/>
  <c r="B9" i="18"/>
  <c r="F413" i="20"/>
  <c r="F333"/>
  <c r="F253"/>
  <c r="F393"/>
  <c r="F313"/>
  <c r="F233"/>
  <c r="F373"/>
  <c r="F293"/>
  <c r="F213"/>
  <c r="F353"/>
  <c r="F273"/>
  <c r="F193"/>
  <c r="F133"/>
  <c r="F113"/>
  <c r="F173"/>
  <c r="F93"/>
  <c r="F43" i="19"/>
  <c r="F153" i="20"/>
  <c r="F73"/>
  <c r="F23" i="19"/>
  <c r="F6" i="13"/>
  <c r="F53" i="20"/>
  <c r="F63" i="19"/>
  <c r="F33" i="20"/>
  <c r="F6" i="12"/>
  <c r="F11" s="1"/>
  <c r="F7" i="9"/>
  <c r="F8"/>
  <c r="F12" i="8"/>
  <c r="C105" i="20"/>
  <c r="C45"/>
  <c r="C85"/>
  <c r="C245"/>
  <c r="C265"/>
  <c r="C285"/>
  <c r="C28" i="10"/>
  <c r="D22"/>
  <c r="F7"/>
  <c r="D19"/>
  <c r="F21" i="9"/>
  <c r="F8" i="10"/>
  <c r="H20"/>
  <c r="D25"/>
  <c r="E25" s="1"/>
  <c r="F25" s="1"/>
  <c r="G25" s="1"/>
  <c r="H25" s="1"/>
  <c r="D24"/>
  <c r="E24" s="1"/>
  <c r="F24" s="1"/>
  <c r="G24" s="1"/>
  <c r="H24" s="1"/>
  <c r="C65" i="20"/>
  <c r="C405"/>
  <c r="C11" i="17"/>
  <c r="C9"/>
  <c r="E9" i="10"/>
  <c r="G9" s="1"/>
  <c r="C26"/>
  <c r="D26" s="1"/>
  <c r="F12" i="6"/>
  <c r="F24" i="18" s="1"/>
  <c r="F6" i="9"/>
  <c r="F14" s="1"/>
  <c r="C55" i="19"/>
  <c r="C75"/>
  <c r="C145" i="20"/>
  <c r="C385"/>
  <c r="C185"/>
  <c r="C205"/>
  <c r="G12" i="6"/>
  <c r="G24" i="18" s="1"/>
  <c r="G6" i="9"/>
  <c r="G14" s="1"/>
  <c r="G21" s="1"/>
  <c r="D20" i="10"/>
  <c r="H9" i="8"/>
  <c r="H11" s="1"/>
  <c r="F19" i="10"/>
  <c r="F20" s="1"/>
  <c r="D9" i="8"/>
  <c r="D11" s="1"/>
  <c r="H19" i="10"/>
  <c r="D23"/>
  <c r="E23" s="1"/>
  <c r="F23" s="1"/>
  <c r="G23" s="1"/>
  <c r="H23" s="1"/>
  <c r="F9" i="9" l="1"/>
  <c r="E19" i="10"/>
  <c r="E20" s="1"/>
  <c r="G19"/>
  <c r="G20" s="1"/>
  <c r="G395" i="20"/>
  <c r="G315"/>
  <c r="G235"/>
  <c r="G375"/>
  <c r="G295"/>
  <c r="G215"/>
  <c r="G355"/>
  <c r="G275"/>
  <c r="G195"/>
  <c r="G415"/>
  <c r="G335"/>
  <c r="G255"/>
  <c r="G175"/>
  <c r="G115"/>
  <c r="G95"/>
  <c r="G155"/>
  <c r="G75"/>
  <c r="G25" i="19"/>
  <c r="G135" i="20"/>
  <c r="G55"/>
  <c r="G22" i="18"/>
  <c r="G65" i="19"/>
  <c r="G35" i="20"/>
  <c r="G45" i="19"/>
  <c r="G9" i="13"/>
  <c r="D373" i="20"/>
  <c r="D293"/>
  <c r="D213"/>
  <c r="D353"/>
  <c r="D273"/>
  <c r="D193"/>
  <c r="D413"/>
  <c r="D333"/>
  <c r="D253"/>
  <c r="D393"/>
  <c r="D313"/>
  <c r="D233"/>
  <c r="D93"/>
  <c r="D173"/>
  <c r="D153"/>
  <c r="D73"/>
  <c r="D133"/>
  <c r="D53"/>
  <c r="D113"/>
  <c r="D33"/>
  <c r="D63" i="19"/>
  <c r="D43"/>
  <c r="D6" i="12"/>
  <c r="D11" s="1"/>
  <c r="D7" i="9"/>
  <c r="D23" i="19"/>
  <c r="D6" i="13"/>
  <c r="D8" i="9"/>
  <c r="H373" i="20"/>
  <c r="H293"/>
  <c r="H213"/>
  <c r="H353"/>
  <c r="H273"/>
  <c r="H193"/>
  <c r="H413"/>
  <c r="H333"/>
  <c r="H253"/>
  <c r="H393"/>
  <c r="H313"/>
  <c r="H233"/>
  <c r="H93"/>
  <c r="H153"/>
  <c r="H73"/>
  <c r="H133"/>
  <c r="H53"/>
  <c r="H173"/>
  <c r="H113"/>
  <c r="H33"/>
  <c r="H63" i="19"/>
  <c r="H7" i="9"/>
  <c r="H9" s="1"/>
  <c r="H43" i="19"/>
  <c r="H6" i="13"/>
  <c r="H8" i="9"/>
  <c r="H23" i="19"/>
  <c r="H12" i="8"/>
  <c r="H6" i="12"/>
  <c r="H11" s="1"/>
  <c r="F375" i="20"/>
  <c r="F295"/>
  <c r="F215"/>
  <c r="F355"/>
  <c r="F275"/>
  <c r="F195"/>
  <c r="F415"/>
  <c r="F335"/>
  <c r="F255"/>
  <c r="F395"/>
  <c r="F396" s="1"/>
  <c r="F315"/>
  <c r="F235"/>
  <c r="F236" s="1"/>
  <c r="F95"/>
  <c r="F155"/>
  <c r="F75"/>
  <c r="F135"/>
  <c r="F136" s="1"/>
  <c r="F55"/>
  <c r="F22" i="18"/>
  <c r="F23" s="1"/>
  <c r="F25" s="1"/>
  <c r="F175" i="20"/>
  <c r="F115"/>
  <c r="F35"/>
  <c r="F65" i="19"/>
  <c r="F45"/>
  <c r="F25"/>
  <c r="F9" i="13"/>
  <c r="F354" i="20"/>
  <c r="F356" s="1"/>
  <c r="F274"/>
  <c r="F194"/>
  <c r="F196" s="1"/>
  <c r="F414"/>
  <c r="F334"/>
  <c r="F341" s="1"/>
  <c r="F254"/>
  <c r="F174"/>
  <c r="F176" s="1"/>
  <c r="F394"/>
  <c r="F314"/>
  <c r="F321" s="1"/>
  <c r="F234"/>
  <c r="F374"/>
  <c r="F381" s="1"/>
  <c r="F294"/>
  <c r="F214"/>
  <c r="F221" s="1"/>
  <c r="F154"/>
  <c r="F74"/>
  <c r="F81" s="1"/>
  <c r="F134"/>
  <c r="F114"/>
  <c r="F116" s="1"/>
  <c r="F34"/>
  <c r="F64" i="19"/>
  <c r="F71" s="1"/>
  <c r="F94" i="20"/>
  <c r="F44" i="19"/>
  <c r="F46" s="1"/>
  <c r="F54" i="20"/>
  <c r="F24" i="19"/>
  <c r="F26" s="1"/>
  <c r="F7" i="13"/>
  <c r="F22" i="9"/>
  <c r="F10"/>
  <c r="F21" i="18" s="1"/>
  <c r="F7" i="12"/>
  <c r="F61" i="20"/>
  <c r="F56"/>
  <c r="F161"/>
  <c r="F156"/>
  <c r="F361"/>
  <c r="F241"/>
  <c r="F336"/>
  <c r="E25" i="21"/>
  <c r="G374" i="20"/>
  <c r="G294"/>
  <c r="G296" s="1"/>
  <c r="G214"/>
  <c r="G354"/>
  <c r="G356" s="1"/>
  <c r="G274"/>
  <c r="G281" s="1"/>
  <c r="G282" s="1"/>
  <c r="G194"/>
  <c r="G196" s="1"/>
  <c r="G414"/>
  <c r="G334"/>
  <c r="G341" s="1"/>
  <c r="G254"/>
  <c r="G256" s="1"/>
  <c r="G258" s="1"/>
  <c r="G394"/>
  <c r="G396" s="1"/>
  <c r="G314"/>
  <c r="G234"/>
  <c r="G241" s="1"/>
  <c r="G242" s="1"/>
  <c r="G94"/>
  <c r="G174"/>
  <c r="G181" s="1"/>
  <c r="G154"/>
  <c r="G161" s="1"/>
  <c r="G162" s="1"/>
  <c r="G74"/>
  <c r="G76" s="1"/>
  <c r="G134"/>
  <c r="G54"/>
  <c r="G56" s="1"/>
  <c r="G114"/>
  <c r="G34"/>
  <c r="G36" s="1"/>
  <c r="G64" i="19"/>
  <c r="G44"/>
  <c r="G51" s="1"/>
  <c r="G24"/>
  <c r="G7" i="13"/>
  <c r="G8" s="1"/>
  <c r="G10" s="1"/>
  <c r="G22" i="9"/>
  <c r="G10"/>
  <c r="G21" i="18" s="1"/>
  <c r="G7" i="12"/>
  <c r="G25" i="21"/>
  <c r="G41" i="20"/>
  <c r="G236"/>
  <c r="G238" s="1"/>
  <c r="G261"/>
  <c r="E397"/>
  <c r="E317"/>
  <c r="E237"/>
  <c r="E377"/>
  <c r="E297"/>
  <c r="E217"/>
  <c r="E357"/>
  <c r="E277"/>
  <c r="E197"/>
  <c r="E417"/>
  <c r="E337"/>
  <c r="E257"/>
  <c r="E177"/>
  <c r="E117"/>
  <c r="E97"/>
  <c r="E157"/>
  <c r="E77"/>
  <c r="E27" i="19"/>
  <c r="E137" i="20"/>
  <c r="E57"/>
  <c r="E11" i="13"/>
  <c r="E67" i="19"/>
  <c r="E37" i="20"/>
  <c r="E47" i="19"/>
  <c r="G357" i="20"/>
  <c r="G277"/>
  <c r="G197"/>
  <c r="G417"/>
  <c r="G337"/>
  <c r="G257"/>
  <c r="G177"/>
  <c r="G397"/>
  <c r="G317"/>
  <c r="G237"/>
  <c r="G377"/>
  <c r="G297"/>
  <c r="G217"/>
  <c r="G157"/>
  <c r="G77"/>
  <c r="G137"/>
  <c r="G117"/>
  <c r="G37"/>
  <c r="G67" i="19"/>
  <c r="G97" i="20"/>
  <c r="G47" i="19"/>
  <c r="G57" i="20"/>
  <c r="G27" i="19"/>
  <c r="G11" i="13"/>
  <c r="F66" i="19"/>
  <c r="F76" i="20"/>
  <c r="F181"/>
  <c r="F276"/>
  <c r="F281"/>
  <c r="F376"/>
  <c r="F261"/>
  <c r="F256"/>
  <c r="G61"/>
  <c r="G62" s="1"/>
  <c r="G71" i="19"/>
  <c r="G81" i="20"/>
  <c r="G376"/>
  <c r="G381"/>
  <c r="G176"/>
  <c r="G201"/>
  <c r="F9" i="10"/>
  <c r="C27"/>
  <c r="C6" i="15" s="1"/>
  <c r="H377" i="20"/>
  <c r="H297"/>
  <c r="H217"/>
  <c r="H357"/>
  <c r="H277"/>
  <c r="H197"/>
  <c r="H417"/>
  <c r="H337"/>
  <c r="H257"/>
  <c r="H177"/>
  <c r="H397"/>
  <c r="H317"/>
  <c r="H237"/>
  <c r="H97"/>
  <c r="H157"/>
  <c r="H77"/>
  <c r="H137"/>
  <c r="H57"/>
  <c r="H117"/>
  <c r="H37"/>
  <c r="H67" i="19"/>
  <c r="H47"/>
  <c r="H27"/>
  <c r="H11" i="13"/>
  <c r="F36" i="20"/>
  <c r="F41"/>
  <c r="F31" i="19"/>
  <c r="F96" i="20"/>
  <c r="F101"/>
  <c r="F201"/>
  <c r="F301"/>
  <c r="F401"/>
  <c r="E8" i="15"/>
  <c r="G8"/>
  <c r="G31" i="19"/>
  <c r="G32" s="1"/>
  <c r="G96" i="20"/>
  <c r="G98" s="1"/>
  <c r="G101"/>
  <c r="G102" s="1"/>
  <c r="G136"/>
  <c r="G138" s="1"/>
  <c r="G141"/>
  <c r="G301"/>
  <c r="G302" s="1"/>
  <c r="G401"/>
  <c r="G421"/>
  <c r="D377"/>
  <c r="D297"/>
  <c r="D217"/>
  <c r="D357"/>
  <c r="D277"/>
  <c r="D197"/>
  <c r="D417"/>
  <c r="D337"/>
  <c r="D257"/>
  <c r="D177"/>
  <c r="D397"/>
  <c r="D317"/>
  <c r="D237"/>
  <c r="D97"/>
  <c r="D157"/>
  <c r="D77"/>
  <c r="D137"/>
  <c r="D57"/>
  <c r="D117"/>
  <c r="D37"/>
  <c r="D67" i="19"/>
  <c r="D47"/>
  <c r="D27"/>
  <c r="D11" i="13"/>
  <c r="D28" i="10"/>
  <c r="E22"/>
  <c r="D27"/>
  <c r="D6" i="15" s="1"/>
  <c r="F8"/>
  <c r="F25" i="21"/>
  <c r="F8" i="13"/>
  <c r="F10" s="1"/>
  <c r="F51" i="19"/>
  <c r="F141" i="20"/>
  <c r="F216"/>
  <c r="F316"/>
  <c r="F421"/>
  <c r="F416"/>
  <c r="G46" i="19"/>
  <c r="G48" s="1"/>
  <c r="G116" i="20"/>
  <c r="G118" s="1"/>
  <c r="G121"/>
  <c r="G216"/>
  <c r="G218" s="1"/>
  <c r="G221"/>
  <c r="G316"/>
  <c r="G318" s="1"/>
  <c r="G321"/>
  <c r="G336"/>
  <c r="G338" s="1"/>
  <c r="G361"/>
  <c r="G362" s="1"/>
  <c r="E12" i="8"/>
  <c r="E9" i="9"/>
  <c r="F417" i="20"/>
  <c r="F337"/>
  <c r="F257"/>
  <c r="F177"/>
  <c r="F397"/>
  <c r="F317"/>
  <c r="F237"/>
  <c r="F377"/>
  <c r="F297"/>
  <c r="F217"/>
  <c r="F357"/>
  <c r="F277"/>
  <c r="F197"/>
  <c r="F137"/>
  <c r="F117"/>
  <c r="F97"/>
  <c r="F47" i="19"/>
  <c r="F157" i="20"/>
  <c r="F77"/>
  <c r="F27" i="19"/>
  <c r="F37" i="20"/>
  <c r="F11" i="13"/>
  <c r="F57" i="20"/>
  <c r="F67" i="19"/>
  <c r="G402" i="20" l="1"/>
  <c r="G178"/>
  <c r="F78"/>
  <c r="G38"/>
  <c r="G78"/>
  <c r="G358"/>
  <c r="F121"/>
  <c r="E26" i="10"/>
  <c r="F26" s="1"/>
  <c r="G26" s="1"/>
  <c r="H26" s="1"/>
  <c r="F58" i="20"/>
  <c r="F48" i="19"/>
  <c r="F118" i="20"/>
  <c r="F358"/>
  <c r="F398"/>
  <c r="F296"/>
  <c r="F298" s="1"/>
  <c r="G66" i="19"/>
  <c r="G68" s="1"/>
  <c r="G26"/>
  <c r="G28" s="1"/>
  <c r="G416" i="20"/>
  <c r="G418" s="1"/>
  <c r="G378"/>
  <c r="G52" i="19"/>
  <c r="G58" i="20"/>
  <c r="G182"/>
  <c r="G398"/>
  <c r="G198"/>
  <c r="G298"/>
  <c r="F28" i="19"/>
  <c r="F178" i="20"/>
  <c r="F198"/>
  <c r="F138"/>
  <c r="F140" s="1"/>
  <c r="F238"/>
  <c r="G156"/>
  <c r="G158" s="1"/>
  <c r="G276"/>
  <c r="G278" s="1"/>
  <c r="G280" s="1"/>
  <c r="G284" s="1"/>
  <c r="F29" i="19"/>
  <c r="F30" s="1"/>
  <c r="F179" i="20"/>
  <c r="F180" s="1"/>
  <c r="F199"/>
  <c r="F200"/>
  <c r="F139"/>
  <c r="F239"/>
  <c r="F240" s="1"/>
  <c r="G159"/>
  <c r="G160" s="1"/>
  <c r="G164" s="1"/>
  <c r="G279"/>
  <c r="G26" i="21"/>
  <c r="G17" i="13"/>
  <c r="G12"/>
  <c r="G39" i="20"/>
  <c r="G40" s="1"/>
  <c r="G44" s="1"/>
  <c r="G79"/>
  <c r="G80" s="1"/>
  <c r="G84" s="1"/>
  <c r="G359"/>
  <c r="G360" s="1"/>
  <c r="G364" s="1"/>
  <c r="G342"/>
  <c r="F49" i="19"/>
  <c r="F50" s="1"/>
  <c r="F120" i="20"/>
  <c r="F119"/>
  <c r="F359"/>
  <c r="F360" s="1"/>
  <c r="F399"/>
  <c r="F400" s="1"/>
  <c r="F299"/>
  <c r="F300" s="1"/>
  <c r="G69" i="19"/>
  <c r="G70" s="1"/>
  <c r="G74" s="1"/>
  <c r="G29"/>
  <c r="G30" s="1"/>
  <c r="G34" s="1"/>
  <c r="G420" i="20"/>
  <c r="G419"/>
  <c r="G59"/>
  <c r="G60" s="1"/>
  <c r="G64" s="1"/>
  <c r="G399"/>
  <c r="G400" s="1"/>
  <c r="G404" s="1"/>
  <c r="G199"/>
  <c r="G200" s="1"/>
  <c r="G299"/>
  <c r="G300" s="1"/>
  <c r="G304" s="1"/>
  <c r="E414"/>
  <c r="E334"/>
  <c r="E254"/>
  <c r="E394"/>
  <c r="E314"/>
  <c r="E234"/>
  <c r="E374"/>
  <c r="E294"/>
  <c r="E214"/>
  <c r="E354"/>
  <c r="E274"/>
  <c r="E194"/>
  <c r="E174"/>
  <c r="E134"/>
  <c r="E114"/>
  <c r="E94"/>
  <c r="E44" i="19"/>
  <c r="E154" i="20"/>
  <c r="E74"/>
  <c r="E24" i="19"/>
  <c r="E34" i="20"/>
  <c r="E10" i="9"/>
  <c r="E21" i="18" s="1"/>
  <c r="E23" s="1"/>
  <c r="E25" s="1"/>
  <c r="E7" i="12"/>
  <c r="E54" i="20"/>
  <c r="E64" i="19"/>
  <c r="E7" i="13"/>
  <c r="E8" s="1"/>
  <c r="E10" s="1"/>
  <c r="E22" i="9"/>
  <c r="G319" i="20"/>
  <c r="G320"/>
  <c r="G324" s="1"/>
  <c r="G119"/>
  <c r="G120"/>
  <c r="E28" i="10"/>
  <c r="F22"/>
  <c r="E27"/>
  <c r="E6" i="15" s="1"/>
  <c r="H7" i="14"/>
  <c r="H9" i="16"/>
  <c r="E7" i="14"/>
  <c r="E9" i="16"/>
  <c r="F59" i="20"/>
  <c r="F60" s="1"/>
  <c r="H8" i="15"/>
  <c r="C11" i="22"/>
  <c r="H25" i="21"/>
  <c r="B8"/>
  <c r="D8" i="15"/>
  <c r="F26" i="21"/>
  <c r="F12" i="13"/>
  <c r="F17"/>
  <c r="G139" i="20"/>
  <c r="G140" s="1"/>
  <c r="G7" i="14"/>
  <c r="G9" i="16"/>
  <c r="C14" i="19"/>
  <c r="F318" i="20"/>
  <c r="G422"/>
  <c r="G72" i="19"/>
  <c r="F68"/>
  <c r="G322" i="20"/>
  <c r="G122"/>
  <c r="F98"/>
  <c r="F38"/>
  <c r="G382"/>
  <c r="G262"/>
  <c r="D9" i="9"/>
  <c r="G23" i="18"/>
  <c r="G25" s="1"/>
  <c r="G339" i="20"/>
  <c r="G340" s="1"/>
  <c r="G344" s="1"/>
  <c r="G49" i="19"/>
  <c r="G50" s="1"/>
  <c r="G54" s="1"/>
  <c r="F79" i="20"/>
  <c r="F80"/>
  <c r="G239"/>
  <c r="G240"/>
  <c r="G244" s="1"/>
  <c r="F218"/>
  <c r="G142"/>
  <c r="F9" i="16"/>
  <c r="F7" i="14"/>
  <c r="G219" i="20"/>
  <c r="G220" s="1"/>
  <c r="G179"/>
  <c r="G180" s="1"/>
  <c r="G184" s="1"/>
  <c r="F13" i="12"/>
  <c r="F13" i="15" s="1"/>
  <c r="F12" i="12"/>
  <c r="C12" i="19"/>
  <c r="H26"/>
  <c r="H394" i="20"/>
  <c r="H396" s="1"/>
  <c r="H398" s="1"/>
  <c r="H314"/>
  <c r="H321" s="1"/>
  <c r="H322" s="1"/>
  <c r="H234"/>
  <c r="H241" s="1"/>
  <c r="H242" s="1"/>
  <c r="H374"/>
  <c r="H376" s="1"/>
  <c r="H378" s="1"/>
  <c r="H294"/>
  <c r="H301" s="1"/>
  <c r="H302" s="1"/>
  <c r="H214"/>
  <c r="H216" s="1"/>
  <c r="H218" s="1"/>
  <c r="H354"/>
  <c r="H361" s="1"/>
  <c r="H362" s="1"/>
  <c r="H274"/>
  <c r="H281" s="1"/>
  <c r="H282" s="1"/>
  <c r="H194"/>
  <c r="H196" s="1"/>
  <c r="H198" s="1"/>
  <c r="H414"/>
  <c r="H421" s="1"/>
  <c r="H422" s="1"/>
  <c r="H334"/>
  <c r="H341" s="1"/>
  <c r="H342" s="1"/>
  <c r="H254"/>
  <c r="H261" s="1"/>
  <c r="H262" s="1"/>
  <c r="H174"/>
  <c r="H176" s="1"/>
  <c r="H178" s="1"/>
  <c r="H114"/>
  <c r="H116" s="1"/>
  <c r="H118" s="1"/>
  <c r="H94"/>
  <c r="H96" s="1"/>
  <c r="H98" s="1"/>
  <c r="H154"/>
  <c r="H156" s="1"/>
  <c r="H158" s="1"/>
  <c r="H74"/>
  <c r="H81" s="1"/>
  <c r="H82" s="1"/>
  <c r="H24" i="19"/>
  <c r="H31" s="1"/>
  <c r="H32" s="1"/>
  <c r="H134" i="20"/>
  <c r="H141" s="1"/>
  <c r="H142" s="1"/>
  <c r="H54"/>
  <c r="H56" s="1"/>
  <c r="H58" s="1"/>
  <c r="H64" i="19"/>
  <c r="H66" s="1"/>
  <c r="H34" i="20"/>
  <c r="H36" s="1"/>
  <c r="H38" s="1"/>
  <c r="H44" i="19"/>
  <c r="H46" s="1"/>
  <c r="H7" i="12"/>
  <c r="H7" i="13"/>
  <c r="H8" s="1"/>
  <c r="H10" s="1"/>
  <c r="H22" i="9"/>
  <c r="H10"/>
  <c r="H21" i="18" s="1"/>
  <c r="H23" s="1"/>
  <c r="H25" s="1"/>
  <c r="H161" i="20"/>
  <c r="H162" s="1"/>
  <c r="H401"/>
  <c r="H402" s="1"/>
  <c r="H201"/>
  <c r="H202" s="1"/>
  <c r="H296"/>
  <c r="H298" s="1"/>
  <c r="B12" i="19"/>
  <c r="B14"/>
  <c r="G99" i="20"/>
  <c r="G100"/>
  <c r="G104" s="1"/>
  <c r="G12" i="12"/>
  <c r="G13"/>
  <c r="G13" i="15" s="1"/>
  <c r="H51" i="19"/>
  <c r="H52" s="1"/>
  <c r="C13"/>
  <c r="H121" i="20"/>
  <c r="H122" s="1"/>
  <c r="H76"/>
  <c r="H78" s="1"/>
  <c r="H316"/>
  <c r="H318" s="1"/>
  <c r="H416"/>
  <c r="H418" s="1"/>
  <c r="H221"/>
  <c r="H222" s="1"/>
  <c r="D25" i="21"/>
  <c r="B7"/>
  <c r="B13" i="19"/>
  <c r="G82" i="20"/>
  <c r="F278"/>
  <c r="G42"/>
  <c r="F338"/>
  <c r="F158"/>
  <c r="G222"/>
  <c r="F418"/>
  <c r="F258"/>
  <c r="B8" i="23"/>
  <c r="D7" i="14"/>
  <c r="D9" i="16"/>
  <c r="G379" i="20"/>
  <c r="G380" s="1"/>
  <c r="G384" s="1"/>
  <c r="G259"/>
  <c r="G260" s="1"/>
  <c r="G264" s="1"/>
  <c r="H41"/>
  <c r="H42" s="1"/>
  <c r="G202"/>
  <c r="F378"/>
  <c r="H256" l="1"/>
  <c r="H258" s="1"/>
  <c r="H381"/>
  <c r="H382" s="1"/>
  <c r="G204"/>
  <c r="G424"/>
  <c r="H61"/>
  <c r="H62" s="1"/>
  <c r="G144"/>
  <c r="H181"/>
  <c r="H182" s="1"/>
  <c r="H276"/>
  <c r="H278" s="1"/>
  <c r="H279" s="1"/>
  <c r="H280" s="1"/>
  <c r="H48" i="19"/>
  <c r="D13"/>
  <c r="H26" i="21"/>
  <c r="H17" i="13"/>
  <c r="H12"/>
  <c r="D14" i="19"/>
  <c r="H68"/>
  <c r="H179" i="20"/>
  <c r="H180" s="1"/>
  <c r="H199"/>
  <c r="H200" s="1"/>
  <c r="H399"/>
  <c r="H400" s="1"/>
  <c r="H99"/>
  <c r="H100"/>
  <c r="H59"/>
  <c r="H60" s="1"/>
  <c r="H379"/>
  <c r="H380" s="1"/>
  <c r="H28" i="19"/>
  <c r="D12"/>
  <c r="F99" i="20"/>
  <c r="F100" s="1"/>
  <c r="F319"/>
  <c r="F320" s="1"/>
  <c r="H40"/>
  <c r="H39"/>
  <c r="F279"/>
  <c r="F280" s="1"/>
  <c r="H319"/>
  <c r="H320" s="1"/>
  <c r="H119"/>
  <c r="H120" s="1"/>
  <c r="H159"/>
  <c r="H160" s="1"/>
  <c r="F9" i="15"/>
  <c r="F14" i="12"/>
  <c r="F28" i="10"/>
  <c r="G22"/>
  <c r="F27"/>
  <c r="F6" i="15" s="1"/>
  <c r="E71" i="19"/>
  <c r="E66"/>
  <c r="E68" s="1"/>
  <c r="E41" i="20"/>
  <c r="E36"/>
  <c r="E38" s="1"/>
  <c r="E51" i="19"/>
  <c r="E46"/>
  <c r="E48" s="1"/>
  <c r="E181" i="20"/>
  <c r="E176"/>
  <c r="E178" s="1"/>
  <c r="E221"/>
  <c r="E216"/>
  <c r="E218" s="1"/>
  <c r="E316"/>
  <c r="E318" s="1"/>
  <c r="E321"/>
  <c r="E416"/>
  <c r="E418" s="1"/>
  <c r="E421"/>
  <c r="F419"/>
  <c r="F420" s="1"/>
  <c r="H219"/>
  <c r="H220" s="1"/>
  <c r="F219"/>
  <c r="F220" s="1"/>
  <c r="F69" i="19"/>
  <c r="F70" s="1"/>
  <c r="F6" i="16"/>
  <c r="E26" i="21"/>
  <c r="E12" i="13"/>
  <c r="E17"/>
  <c r="E156" i="20"/>
  <c r="E158" s="1"/>
  <c r="E161"/>
  <c r="E141"/>
  <c r="E136"/>
  <c r="E138" s="1"/>
  <c r="E361"/>
  <c r="E356"/>
  <c r="E358" s="1"/>
  <c r="E236"/>
  <c r="E238" s="1"/>
  <c r="E241"/>
  <c r="E336"/>
  <c r="E338" s="1"/>
  <c r="E341"/>
  <c r="G6" i="16"/>
  <c r="G224" i="20"/>
  <c r="H101"/>
  <c r="H102" s="1"/>
  <c r="H356"/>
  <c r="H358" s="1"/>
  <c r="H236"/>
  <c r="H238" s="1"/>
  <c r="H71" i="19"/>
  <c r="H72" s="1"/>
  <c r="H419" i="20"/>
  <c r="H420" s="1"/>
  <c r="H299"/>
  <c r="H300" s="1"/>
  <c r="H259"/>
  <c r="H260" s="1"/>
  <c r="H336"/>
  <c r="H338" s="1"/>
  <c r="H136"/>
  <c r="H138" s="1"/>
  <c r="F259"/>
  <c r="F260" s="1"/>
  <c r="H79"/>
  <c r="H80" s="1"/>
  <c r="E13" i="12"/>
  <c r="E13" i="15" s="1"/>
  <c r="E12" i="12"/>
  <c r="E76" i="20"/>
  <c r="E78" s="1"/>
  <c r="E81"/>
  <c r="E116"/>
  <c r="E118" s="1"/>
  <c r="E121"/>
  <c r="E276"/>
  <c r="E278" s="1"/>
  <c r="E281"/>
  <c r="E381"/>
  <c r="E376"/>
  <c r="E378" s="1"/>
  <c r="E261"/>
  <c r="E256"/>
  <c r="E258" s="1"/>
  <c r="F379"/>
  <c r="F380" s="1"/>
  <c r="F160"/>
  <c r="F159"/>
  <c r="G9" i="15"/>
  <c r="G14" i="12"/>
  <c r="G15" s="1"/>
  <c r="H12"/>
  <c r="H13"/>
  <c r="H13" i="15" s="1"/>
  <c r="D394" i="20"/>
  <c r="D314"/>
  <c r="D234"/>
  <c r="D374"/>
  <c r="D294"/>
  <c r="D214"/>
  <c r="D354"/>
  <c r="D274"/>
  <c r="D194"/>
  <c r="D414"/>
  <c r="D334"/>
  <c r="D254"/>
  <c r="D174"/>
  <c r="D114"/>
  <c r="D94"/>
  <c r="D154"/>
  <c r="D74"/>
  <c r="D24" i="19"/>
  <c r="D134" i="20"/>
  <c r="D54"/>
  <c r="D7" i="12"/>
  <c r="D64" i="19"/>
  <c r="B14" i="7"/>
  <c r="D34" i="20"/>
  <c r="D44" i="19"/>
  <c r="D7" i="13"/>
  <c r="D8" s="1"/>
  <c r="D10" s="1"/>
  <c r="D22" i="9"/>
  <c r="D10"/>
  <c r="F39" i="20"/>
  <c r="F40" s="1"/>
  <c r="E61"/>
  <c r="E56"/>
  <c r="E58" s="1"/>
  <c r="E31" i="19"/>
  <c r="E26"/>
  <c r="E28" s="1"/>
  <c r="E101" i="20"/>
  <c r="E96"/>
  <c r="E98" s="1"/>
  <c r="E201"/>
  <c r="E196"/>
  <c r="E198" s="1"/>
  <c r="E301"/>
  <c r="E296"/>
  <c r="E298" s="1"/>
  <c r="E401"/>
  <c r="E396"/>
  <c r="E398" s="1"/>
  <c r="G124"/>
  <c r="F339"/>
  <c r="F340" s="1"/>
  <c r="F402" l="1"/>
  <c r="F404" s="1"/>
  <c r="F202"/>
  <c r="F204" s="1"/>
  <c r="F32" i="19"/>
  <c r="F34" s="1"/>
  <c r="D51"/>
  <c r="D52" s="1"/>
  <c r="D46"/>
  <c r="D48" s="1"/>
  <c r="D12" i="12"/>
  <c r="D13"/>
  <c r="D13" i="15" s="1"/>
  <c r="D81" i="20"/>
  <c r="D82" s="1"/>
  <c r="D76"/>
  <c r="D78" s="1"/>
  <c r="D181"/>
  <c r="D182" s="1"/>
  <c r="D176"/>
  <c r="D178" s="1"/>
  <c r="D201"/>
  <c r="D202" s="1"/>
  <c r="D196"/>
  <c r="D198" s="1"/>
  <c r="D296"/>
  <c r="D298" s="1"/>
  <c r="D301"/>
  <c r="D302" s="1"/>
  <c r="D401"/>
  <c r="D402" s="1"/>
  <c r="D396"/>
  <c r="D398" s="1"/>
  <c r="F382"/>
  <c r="F384" s="1"/>
  <c r="E119"/>
  <c r="E120" s="1"/>
  <c r="E239"/>
  <c r="E240" s="1"/>
  <c r="F142"/>
  <c r="F144" s="1"/>
  <c r="E6" i="16"/>
  <c r="E422" i="20"/>
  <c r="F422"/>
  <c r="E219"/>
  <c r="E220" s="1"/>
  <c r="E49" i="19"/>
  <c r="E50" s="1"/>
  <c r="E69"/>
  <c r="E70" s="1"/>
  <c r="H29"/>
  <c r="H30" s="1"/>
  <c r="H69"/>
  <c r="H70" s="1"/>
  <c r="E399" i="20"/>
  <c r="E400" s="1"/>
  <c r="E199"/>
  <c r="E200" s="1"/>
  <c r="E29" i="19"/>
  <c r="E30" s="1"/>
  <c r="D26" i="21"/>
  <c r="D17" i="13"/>
  <c r="D12"/>
  <c r="D66" i="19"/>
  <c r="D68" s="1"/>
  <c r="D71"/>
  <c r="D72" s="1"/>
  <c r="D26"/>
  <c r="D28" s="1"/>
  <c r="D31"/>
  <c r="D32" s="1"/>
  <c r="D121" i="20"/>
  <c r="D122" s="1"/>
  <c r="D116"/>
  <c r="D118" s="1"/>
  <c r="D421"/>
  <c r="D422" s="1"/>
  <c r="D416"/>
  <c r="D418" s="1"/>
  <c r="D216"/>
  <c r="D218" s="1"/>
  <c r="D221"/>
  <c r="D222" s="1"/>
  <c r="D321"/>
  <c r="D322" s="1"/>
  <c r="D316"/>
  <c r="D318" s="1"/>
  <c r="E379"/>
  <c r="E380" s="1"/>
  <c r="E122"/>
  <c r="F122"/>
  <c r="F124" s="1"/>
  <c r="E9" i="15"/>
  <c r="E14" i="12"/>
  <c r="F15" s="1"/>
  <c r="G7" i="16"/>
  <c r="G8" s="1"/>
  <c r="G17" s="1"/>
  <c r="F242" i="20"/>
  <c r="F244" s="1"/>
  <c r="E139"/>
  <c r="E140"/>
  <c r="F7" i="16"/>
  <c r="F8" s="1"/>
  <c r="F17" s="1"/>
  <c r="E319" i="20"/>
  <c r="E320" s="1"/>
  <c r="F182"/>
  <c r="F184" s="1"/>
  <c r="F42"/>
  <c r="F44" s="1"/>
  <c r="G27" i="10"/>
  <c r="G6" i="15" s="1"/>
  <c r="G28" i="10"/>
  <c r="H22"/>
  <c r="H49" i="19"/>
  <c r="H50" s="1"/>
  <c r="E302" i="20"/>
  <c r="F302"/>
  <c r="F304" s="1"/>
  <c r="F102"/>
  <c r="F104" s="1"/>
  <c r="F62"/>
  <c r="F64" s="1"/>
  <c r="H15" i="16"/>
  <c r="B15" i="7"/>
  <c r="D136" i="20"/>
  <c r="D138" s="1"/>
  <c r="D141"/>
  <c r="D142" s="1"/>
  <c r="D101"/>
  <c r="D102" s="1"/>
  <c r="D96"/>
  <c r="D98" s="1"/>
  <c r="D341"/>
  <c r="D342" s="1"/>
  <c r="D336"/>
  <c r="D338" s="1"/>
  <c r="D361"/>
  <c r="D362" s="1"/>
  <c r="D356"/>
  <c r="D358" s="1"/>
  <c r="D241"/>
  <c r="D242" s="1"/>
  <c r="D236"/>
  <c r="D238" s="1"/>
  <c r="H9" i="15"/>
  <c r="H14" i="12"/>
  <c r="H15" s="1"/>
  <c r="F262" i="20"/>
  <c r="F264" s="1"/>
  <c r="E279"/>
  <c r="E280" s="1"/>
  <c r="E79"/>
  <c r="E80" s="1"/>
  <c r="H339"/>
  <c r="H340" s="1"/>
  <c r="H360"/>
  <c r="H359"/>
  <c r="E339"/>
  <c r="E340" s="1"/>
  <c r="E362"/>
  <c r="F362"/>
  <c r="F364" s="1"/>
  <c r="E159"/>
  <c r="E160" s="1"/>
  <c r="E322"/>
  <c r="F322"/>
  <c r="F324" s="1"/>
  <c r="E179"/>
  <c r="E180" s="1"/>
  <c r="E39"/>
  <c r="E40" s="1"/>
  <c r="H6" i="16"/>
  <c r="E300" i="20"/>
  <c r="E304" s="1"/>
  <c r="E299"/>
  <c r="E99"/>
  <c r="E100" s="1"/>
  <c r="E60"/>
  <c r="E59"/>
  <c r="B6" i="18"/>
  <c r="B7" s="1"/>
  <c r="D21"/>
  <c r="D23" s="1"/>
  <c r="D25" s="1"/>
  <c r="D41" i="20"/>
  <c r="D42" s="1"/>
  <c r="D36"/>
  <c r="D38" s="1"/>
  <c r="D56"/>
  <c r="D58" s="1"/>
  <c r="D61"/>
  <c r="D62" s="1"/>
  <c r="D156"/>
  <c r="D158" s="1"/>
  <c r="D161"/>
  <c r="D162" s="1"/>
  <c r="D256"/>
  <c r="D258" s="1"/>
  <c r="D261"/>
  <c r="D262" s="1"/>
  <c r="D281"/>
  <c r="D282" s="1"/>
  <c r="D276"/>
  <c r="D278" s="1"/>
  <c r="D381"/>
  <c r="D382" s="1"/>
  <c r="D376"/>
  <c r="D378" s="1"/>
  <c r="E259"/>
  <c r="E260" s="1"/>
  <c r="F282"/>
  <c r="F284" s="1"/>
  <c r="E82"/>
  <c r="F82"/>
  <c r="F84" s="1"/>
  <c r="H139"/>
  <c r="H140" s="1"/>
  <c r="H239"/>
  <c r="H240" s="1"/>
  <c r="E342"/>
  <c r="F342"/>
  <c r="F344" s="1"/>
  <c r="E359"/>
  <c r="E360" s="1"/>
  <c r="E364" s="1"/>
  <c r="E162"/>
  <c r="F162"/>
  <c r="E419"/>
  <c r="E420" s="1"/>
  <c r="E424" s="1"/>
  <c r="E222"/>
  <c r="F222"/>
  <c r="E52" i="19"/>
  <c r="F52"/>
  <c r="F54" s="1"/>
  <c r="E72"/>
  <c r="F72"/>
  <c r="F74" s="1"/>
  <c r="F164" i="20"/>
  <c r="F224"/>
  <c r="F424"/>
  <c r="E54" i="19" l="1"/>
  <c r="E282" i="20"/>
  <c r="E284" s="1"/>
  <c r="E74" i="19"/>
  <c r="E142" i="20"/>
  <c r="E264"/>
  <c r="E344"/>
  <c r="E84"/>
  <c r="E262"/>
  <c r="E62"/>
  <c r="E64" s="1"/>
  <c r="E144"/>
  <c r="E124"/>
  <c r="F28" i="21"/>
  <c r="F8" i="17"/>
  <c r="F11" s="1"/>
  <c r="G28" i="21"/>
  <c r="G8" i="17"/>
  <c r="G11" s="1"/>
  <c r="D259" i="20"/>
  <c r="D260"/>
  <c r="D264" s="1"/>
  <c r="D59"/>
  <c r="D60" s="1"/>
  <c r="D64" s="1"/>
  <c r="B16" i="23"/>
  <c r="B8" i="18"/>
  <c r="B10"/>
  <c r="D319" i="20"/>
  <c r="D320" s="1"/>
  <c r="D324" s="1"/>
  <c r="D419"/>
  <c r="D420" s="1"/>
  <c r="D424" s="1"/>
  <c r="D6" i="16"/>
  <c r="D379" i="20"/>
  <c r="D380" s="1"/>
  <c r="D384" s="1"/>
  <c r="H7" i="16"/>
  <c r="H8" s="1"/>
  <c r="D360" i="20"/>
  <c r="D364" s="1"/>
  <c r="D359"/>
  <c r="D99"/>
  <c r="D100" s="1"/>
  <c r="D104" s="1"/>
  <c r="B6" i="21"/>
  <c r="C9" i="22"/>
  <c r="B19" i="7"/>
  <c r="D219" i="20"/>
  <c r="D220" s="1"/>
  <c r="D224" s="1"/>
  <c r="D69" i="19"/>
  <c r="D70" s="1"/>
  <c r="D74" s="1"/>
  <c r="D399" i="20"/>
  <c r="D400" s="1"/>
  <c r="D404" s="1"/>
  <c r="D199"/>
  <c r="D200" s="1"/>
  <c r="D204" s="1"/>
  <c r="D80"/>
  <c r="D84" s="1"/>
  <c r="D79"/>
  <c r="D49" i="19"/>
  <c r="D50" s="1"/>
  <c r="D54" s="1"/>
  <c r="E104" i="20"/>
  <c r="E164"/>
  <c r="E102"/>
  <c r="E324"/>
  <c r="E202"/>
  <c r="E204" s="1"/>
  <c r="E182"/>
  <c r="E184" s="1"/>
  <c r="E242"/>
  <c r="E244" s="1"/>
  <c r="D159"/>
  <c r="D160" s="1"/>
  <c r="D164" s="1"/>
  <c r="D139"/>
  <c r="D140"/>
  <c r="D144" s="1"/>
  <c r="D119"/>
  <c r="D120"/>
  <c r="D124" s="1"/>
  <c r="E7" i="16"/>
  <c r="E8"/>
  <c r="E17" s="1"/>
  <c r="D299" i="20"/>
  <c r="D300"/>
  <c r="D304" s="1"/>
  <c r="D9" i="15"/>
  <c r="D14" i="12"/>
  <c r="D15" s="1"/>
  <c r="D279" i="20"/>
  <c r="D280" s="1"/>
  <c r="D284" s="1"/>
  <c r="D39"/>
  <c r="D40" s="1"/>
  <c r="D44" s="1"/>
  <c r="D239"/>
  <c r="D240"/>
  <c r="D244" s="1"/>
  <c r="D339"/>
  <c r="D340"/>
  <c r="D344" s="1"/>
  <c r="H27" i="10"/>
  <c r="H6" i="15" s="1"/>
  <c r="H28" i="10"/>
  <c r="H14" i="16" s="1"/>
  <c r="D29" i="19"/>
  <c r="D30"/>
  <c r="D34" s="1"/>
  <c r="D179" i="20"/>
  <c r="D180"/>
  <c r="D184" s="1"/>
  <c r="E224"/>
  <c r="E382"/>
  <c r="E384" s="1"/>
  <c r="E32" i="19"/>
  <c r="E34" s="1"/>
  <c r="E402" i="20"/>
  <c r="E404" s="1"/>
  <c r="E42"/>
  <c r="E44" s="1"/>
  <c r="E15" i="12" l="1"/>
  <c r="H17" i="16"/>
  <c r="D45" i="20"/>
  <c r="D55" i="19"/>
  <c r="D425" i="20"/>
  <c r="D285"/>
  <c r="D405"/>
  <c r="D165"/>
  <c r="D225"/>
  <c r="D105"/>
  <c r="D385"/>
  <c r="H28" i="21"/>
  <c r="H8" i="17"/>
  <c r="H11" s="1"/>
  <c r="D325" i="20"/>
  <c r="D65"/>
  <c r="D345"/>
  <c r="H423"/>
  <c r="H424" s="1"/>
  <c r="C428" s="1"/>
  <c r="G17" s="1"/>
  <c r="H343"/>
  <c r="H344" s="1"/>
  <c r="C348" s="1"/>
  <c r="C17" s="1"/>
  <c r="H263"/>
  <c r="H264" s="1"/>
  <c r="H183"/>
  <c r="H184" s="1"/>
  <c r="C187" s="1"/>
  <c r="E8" s="1"/>
  <c r="H403"/>
  <c r="H404" s="1"/>
  <c r="C407" s="1"/>
  <c r="F10" s="1"/>
  <c r="H323"/>
  <c r="H324" s="1"/>
  <c r="C327" s="1"/>
  <c r="G9" s="1"/>
  <c r="H243"/>
  <c r="H244" s="1"/>
  <c r="H163"/>
  <c r="H164" s="1"/>
  <c r="C168" s="1"/>
  <c r="D15" s="1"/>
  <c r="H383"/>
  <c r="H384" s="1"/>
  <c r="C388" s="1"/>
  <c r="E17" s="1"/>
  <c r="H303"/>
  <c r="H304" s="1"/>
  <c r="C308" s="1"/>
  <c r="F16" s="1"/>
  <c r="H223"/>
  <c r="H224" s="1"/>
  <c r="C228" s="1"/>
  <c r="G15" s="1"/>
  <c r="H363"/>
  <c r="H364" s="1"/>
  <c r="C367" s="1"/>
  <c r="D10" s="1"/>
  <c r="H283"/>
  <c r="H284" s="1"/>
  <c r="C287" s="1"/>
  <c r="E9" s="1"/>
  <c r="H203"/>
  <c r="H204" s="1"/>
  <c r="C208" s="1"/>
  <c r="F15" s="1"/>
  <c r="H143"/>
  <c r="H144" s="1"/>
  <c r="H63"/>
  <c r="H64" s="1"/>
  <c r="C67" s="1"/>
  <c r="D7" s="1"/>
  <c r="H123"/>
  <c r="H124" s="1"/>
  <c r="H103"/>
  <c r="H104" s="1"/>
  <c r="C108" s="1"/>
  <c r="F14" s="1"/>
  <c r="H53" i="19"/>
  <c r="H54" s="1"/>
  <c r="C58" s="1"/>
  <c r="F13" s="1"/>
  <c r="H83" i="20"/>
  <c r="H84" s="1"/>
  <c r="C88" s="1"/>
  <c r="E14" s="1"/>
  <c r="H33" i="19"/>
  <c r="H34" s="1"/>
  <c r="C38" s="1"/>
  <c r="F12" s="1"/>
  <c r="B20" i="21" s="1"/>
  <c r="H73" i="19"/>
  <c r="H74" s="1"/>
  <c r="C78" s="1"/>
  <c r="F14" s="1"/>
  <c r="H43" i="20"/>
  <c r="H44" s="1"/>
  <c r="C48" s="1"/>
  <c r="C14" s="1"/>
  <c r="C307"/>
  <c r="F9" s="1"/>
  <c r="D305"/>
  <c r="C127"/>
  <c r="G7" s="1"/>
  <c r="C128"/>
  <c r="G14" s="1"/>
  <c r="D125"/>
  <c r="D75" i="19"/>
  <c r="C7" i="11"/>
  <c r="B10" i="23"/>
  <c r="D7" i="16"/>
  <c r="D8" s="1"/>
  <c r="D17" s="1"/>
  <c r="B20" i="7"/>
  <c r="B21" s="1"/>
  <c r="B22" s="1"/>
  <c r="B5" i="23" s="1"/>
  <c r="C37" i="19"/>
  <c r="E12" s="1"/>
  <c r="D35"/>
  <c r="C87" i="20"/>
  <c r="E7" s="1"/>
  <c r="D85"/>
  <c r="C368"/>
  <c r="D17" s="1"/>
  <c r="D365"/>
  <c r="C267"/>
  <c r="D9" s="1"/>
  <c r="C268"/>
  <c r="D16" s="1"/>
  <c r="D265"/>
  <c r="E28" i="21"/>
  <c r="E8" i="17"/>
  <c r="E11" s="1"/>
  <c r="C148" i="20"/>
  <c r="C15" s="1"/>
  <c r="C147"/>
  <c r="C8" s="1"/>
  <c r="D145"/>
  <c r="B11" i="18"/>
  <c r="B12"/>
  <c r="B16" i="21" s="1"/>
  <c r="B16" i="18"/>
  <c r="B14"/>
  <c r="B15" s="1"/>
  <c r="B17" s="1"/>
  <c r="C188" i="20"/>
  <c r="E15" s="1"/>
  <c r="D185"/>
  <c r="C247"/>
  <c r="C9" s="1"/>
  <c r="C248"/>
  <c r="C16" s="1"/>
  <c r="D245"/>
  <c r="C207"/>
  <c r="F8" s="1"/>
  <c r="D205"/>
  <c r="C408" l="1"/>
  <c r="F17" s="1"/>
  <c r="C427"/>
  <c r="G10" s="1"/>
  <c r="C77" i="19"/>
  <c r="E14" s="1"/>
  <c r="B21" i="21" s="1"/>
  <c r="C328" i="20"/>
  <c r="G16" s="1"/>
  <c r="C387"/>
  <c r="E10" s="1"/>
  <c r="C288"/>
  <c r="E16" s="1"/>
  <c r="C227"/>
  <c r="G8" s="1"/>
  <c r="D28" i="21"/>
  <c r="D8" i="17"/>
  <c r="D18" i="16"/>
  <c r="E18" s="1"/>
  <c r="F18" s="1"/>
  <c r="G18" s="1"/>
  <c r="H18" s="1"/>
  <c r="E35" i="19"/>
  <c r="E36" s="1"/>
  <c r="D36"/>
  <c r="E245" i="20"/>
  <c r="E246" s="1"/>
  <c r="D246"/>
  <c r="E265"/>
  <c r="E266" s="1"/>
  <c r="D266"/>
  <c r="E17" i="15"/>
  <c r="C15" i="14"/>
  <c r="F17" i="15"/>
  <c r="H17"/>
  <c r="C17"/>
  <c r="C19" s="1"/>
  <c r="D17"/>
  <c r="G17"/>
  <c r="E225" i="20"/>
  <c r="E226" s="1"/>
  <c r="D226"/>
  <c r="E425"/>
  <c r="D426"/>
  <c r="C347"/>
  <c r="C10" s="1"/>
  <c r="C68"/>
  <c r="D14" s="1"/>
  <c r="C167"/>
  <c r="D8" s="1"/>
  <c r="C22" s="1"/>
  <c r="C57" i="19"/>
  <c r="E13" s="1"/>
  <c r="C47" i="20"/>
  <c r="C7" s="1"/>
  <c r="E145"/>
  <c r="D146"/>
  <c r="E365"/>
  <c r="E366"/>
  <c r="D366"/>
  <c r="E345"/>
  <c r="E346" s="1"/>
  <c r="D346"/>
  <c r="E55" i="19"/>
  <c r="E56"/>
  <c r="D56"/>
  <c r="C107" i="20"/>
  <c r="F7" s="1"/>
  <c r="E185"/>
  <c r="E186" s="1"/>
  <c r="D186"/>
  <c r="E75" i="19"/>
  <c r="E76" s="1"/>
  <c r="D76"/>
  <c r="E166" i="20"/>
  <c r="E165"/>
  <c r="D166"/>
  <c r="C23"/>
  <c r="B23"/>
  <c r="C32" i="23"/>
  <c r="C13" i="22"/>
  <c r="B15" i="21"/>
  <c r="E85" i="20"/>
  <c r="D86"/>
  <c r="B19" i="21"/>
  <c r="B17" i="19"/>
  <c r="C34" i="23" s="1"/>
  <c r="C9" i="11"/>
  <c r="C14" i="14"/>
  <c r="C17" s="1"/>
  <c r="C19" s="1"/>
  <c r="C21" s="1"/>
  <c r="E125" i="20"/>
  <c r="D126"/>
  <c r="E65"/>
  <c r="E66"/>
  <c r="D66"/>
  <c r="E386"/>
  <c r="E385"/>
  <c r="D386"/>
  <c r="E405"/>
  <c r="E406" s="1"/>
  <c r="D406"/>
  <c r="E45"/>
  <c r="D46"/>
  <c r="E205"/>
  <c r="E206" s="1"/>
  <c r="D206"/>
  <c r="E306"/>
  <c r="E305"/>
  <c r="D306"/>
  <c r="E325"/>
  <c r="E326" s="1"/>
  <c r="D326"/>
  <c r="E106"/>
  <c r="E105"/>
  <c r="D106"/>
  <c r="E285"/>
  <c r="E286" s="1"/>
  <c r="D286"/>
  <c r="B22" l="1"/>
  <c r="D22" s="1"/>
  <c r="F126"/>
  <c r="F125"/>
  <c r="F285"/>
  <c r="F286" s="1"/>
  <c r="F305"/>
  <c r="F205"/>
  <c r="F206"/>
  <c r="F385"/>
  <c r="F65"/>
  <c r="F66" s="1"/>
  <c r="F365"/>
  <c r="C21"/>
  <c r="B21"/>
  <c r="C24"/>
  <c r="B24"/>
  <c r="F265"/>
  <c r="F266"/>
  <c r="F35" i="19"/>
  <c r="F36" s="1"/>
  <c r="D23" i="20"/>
  <c r="F425"/>
  <c r="F426" s="1"/>
  <c r="D11" i="17"/>
  <c r="C16" s="1"/>
  <c r="C15"/>
  <c r="E11" i="20"/>
  <c r="C11"/>
  <c r="G11"/>
  <c r="F11"/>
  <c r="B11" i="23"/>
  <c r="D11" i="20"/>
  <c r="C17" i="17"/>
  <c r="D9"/>
  <c r="F45" i="20"/>
  <c r="F46" s="1"/>
  <c r="C10" i="15"/>
  <c r="C11" s="1"/>
  <c r="D20" i="14"/>
  <c r="F85" i="20"/>
  <c r="F86" s="1"/>
  <c r="F145"/>
  <c r="F105"/>
  <c r="F106"/>
  <c r="F325"/>
  <c r="F326" s="1"/>
  <c r="F405"/>
  <c r="F406" s="1"/>
  <c r="C14" i="15"/>
  <c r="C15" s="1"/>
  <c r="C20" s="1"/>
  <c r="D6" i="11"/>
  <c r="F165" i="20"/>
  <c r="F166" s="1"/>
  <c r="F75" i="19"/>
  <c r="F55"/>
  <c r="F56" s="1"/>
  <c r="F246" i="20"/>
  <c r="F245"/>
  <c r="E46"/>
  <c r="E126"/>
  <c r="E86"/>
  <c r="E146"/>
  <c r="E426"/>
  <c r="F185"/>
  <c r="F186"/>
  <c r="F345"/>
  <c r="F225"/>
  <c r="F226" s="1"/>
  <c r="E16" i="19"/>
  <c r="B13" i="23" s="1"/>
  <c r="D24" i="20" l="1"/>
  <c r="G75" i="19"/>
  <c r="G76" s="1"/>
  <c r="G145" i="20"/>
  <c r="G146" s="1"/>
  <c r="E18"/>
  <c r="F18"/>
  <c r="D18"/>
  <c r="G18"/>
  <c r="C18"/>
  <c r="C18" i="17"/>
  <c r="C22" i="15"/>
  <c r="G345" i="20"/>
  <c r="G346" s="1"/>
  <c r="G245"/>
  <c r="D11" i="11"/>
  <c r="D13" i="13" s="1"/>
  <c r="D8" i="11"/>
  <c r="D9" s="1"/>
  <c r="G325" i="20"/>
  <c r="G326"/>
  <c r="E9" i="17"/>
  <c r="D12"/>
  <c r="B12" i="23"/>
  <c r="C5" i="22"/>
  <c r="B12" i="21"/>
  <c r="B15" i="23" s="1"/>
  <c r="C20" i="17"/>
  <c r="C22"/>
  <c r="E28" i="20"/>
  <c r="B14" i="23" s="1"/>
  <c r="C33"/>
  <c r="G365" i="20"/>
  <c r="G366"/>
  <c r="G385"/>
  <c r="G386" s="1"/>
  <c r="G305"/>
  <c r="G306"/>
  <c r="F146"/>
  <c r="G225"/>
  <c r="G226" s="1"/>
  <c r="G185"/>
  <c r="G186" s="1"/>
  <c r="G165"/>
  <c r="G166" s="1"/>
  <c r="G105"/>
  <c r="G106" s="1"/>
  <c r="G85"/>
  <c r="G86"/>
  <c r="G46"/>
  <c r="G45"/>
  <c r="G425"/>
  <c r="G426" s="1"/>
  <c r="G35" i="19"/>
  <c r="G36" s="1"/>
  <c r="G125" i="20"/>
  <c r="G126" s="1"/>
  <c r="F346"/>
  <c r="F76" i="19"/>
  <c r="F366" i="20"/>
  <c r="F386"/>
  <c r="F306"/>
  <c r="G55" i="19"/>
  <c r="G56" s="1"/>
  <c r="G405" i="20"/>
  <c r="G406" s="1"/>
  <c r="C25"/>
  <c r="B25"/>
  <c r="G265"/>
  <c r="G65"/>
  <c r="G66" s="1"/>
  <c r="G205"/>
  <c r="G206"/>
  <c r="G285"/>
  <c r="G286" s="1"/>
  <c r="D21"/>
  <c r="D14" i="15" l="1"/>
  <c r="D15" s="1"/>
  <c r="E6" i="11"/>
  <c r="H265" i="20"/>
  <c r="H266" s="1"/>
  <c r="F9" i="17"/>
  <c r="H245" i="20"/>
  <c r="H246"/>
  <c r="H285"/>
  <c r="H286" s="1"/>
  <c r="C289" s="1"/>
  <c r="H45"/>
  <c r="H46" s="1"/>
  <c r="C49" s="1"/>
  <c r="H185"/>
  <c r="H186" s="1"/>
  <c r="C189" s="1"/>
  <c r="H305"/>
  <c r="H306"/>
  <c r="H365"/>
  <c r="H366" s="1"/>
  <c r="C369" s="1"/>
  <c r="H325"/>
  <c r="H326"/>
  <c r="C329" s="1"/>
  <c r="D25"/>
  <c r="E25" s="1"/>
  <c r="G246"/>
  <c r="C249" s="1"/>
  <c r="H35" i="19"/>
  <c r="H36"/>
  <c r="C39" s="1"/>
  <c r="G12" s="1"/>
  <c r="H65" i="20"/>
  <c r="H66"/>
  <c r="C69" s="1"/>
  <c r="H55" i="19"/>
  <c r="H56"/>
  <c r="C59" s="1"/>
  <c r="G13" s="1"/>
  <c r="H125" i="20"/>
  <c r="H126"/>
  <c r="C129" s="1"/>
  <c r="H85"/>
  <c r="H86" s="1"/>
  <c r="C89" s="1"/>
  <c r="H225"/>
  <c r="H226" s="1"/>
  <c r="C229" s="1"/>
  <c r="C15" i="22"/>
  <c r="B17" i="21"/>
  <c r="H75" i="19"/>
  <c r="H76" s="1"/>
  <c r="C79" s="1"/>
  <c r="G14" s="1"/>
  <c r="C309" i="20"/>
  <c r="H105"/>
  <c r="H106" s="1"/>
  <c r="C109" s="1"/>
  <c r="B27"/>
  <c r="E21"/>
  <c r="E22"/>
  <c r="H205"/>
  <c r="H206" s="1"/>
  <c r="C209" s="1"/>
  <c r="H405"/>
  <c r="H406" s="1"/>
  <c r="C409" s="1"/>
  <c r="H425"/>
  <c r="H426"/>
  <c r="C429" s="1"/>
  <c r="H165"/>
  <c r="H166" s="1"/>
  <c r="C169" s="1"/>
  <c r="H385"/>
  <c r="H386"/>
  <c r="C389" s="1"/>
  <c r="B28" i="18"/>
  <c r="D14" i="13"/>
  <c r="H345" i="20"/>
  <c r="H346"/>
  <c r="G266"/>
  <c r="E12" i="17"/>
  <c r="H145" i="20"/>
  <c r="H146" s="1"/>
  <c r="C149" s="1"/>
  <c r="C349"/>
  <c r="C269" l="1"/>
  <c r="B18" i="21"/>
  <c r="C35" i="23"/>
  <c r="C14" i="22"/>
  <c r="E11" i="11"/>
  <c r="E13" i="13" s="1"/>
  <c r="E14" s="1"/>
  <c r="E8" i="11"/>
  <c r="E9" s="1"/>
  <c r="E24" i="20"/>
  <c r="E23"/>
  <c r="D15" i="13"/>
  <c r="D16" s="1"/>
  <c r="G9" i="17"/>
  <c r="F12"/>
  <c r="D27" i="21" l="1"/>
  <c r="D18" i="15"/>
  <c r="D6" i="14"/>
  <c r="D9" s="1"/>
  <c r="D19" s="1"/>
  <c r="D21" s="1"/>
  <c r="D18" i="13"/>
  <c r="E14" i="15"/>
  <c r="E15" s="1"/>
  <c r="F6" i="11"/>
  <c r="H9" i="17"/>
  <c r="H12" s="1"/>
  <c r="C19" s="1"/>
  <c r="G12"/>
  <c r="E15" i="13"/>
  <c r="E16" s="1"/>
  <c r="E27" i="21" l="1"/>
  <c r="E6" i="14"/>
  <c r="E9" s="1"/>
  <c r="E19" s="1"/>
  <c r="E18" i="13"/>
  <c r="C12" i="22"/>
  <c r="F11" i="11"/>
  <c r="F13" i="13" s="1"/>
  <c r="F14" s="1"/>
  <c r="F8" i="11"/>
  <c r="F9" s="1"/>
  <c r="E18" i="15"/>
  <c r="D19"/>
  <c r="D20" s="1"/>
  <c r="D10"/>
  <c r="D11" s="1"/>
  <c r="D22" s="1"/>
  <c r="E20" i="14"/>
  <c r="F14" i="15" l="1"/>
  <c r="F15" s="1"/>
  <c r="G6" i="11"/>
  <c r="E19" i="15"/>
  <c r="E20" s="1"/>
  <c r="E21" i="14"/>
  <c r="F15" i="13"/>
  <c r="F16" s="1"/>
  <c r="F27" i="21" l="1"/>
  <c r="F18" i="13"/>
  <c r="F6" i="14"/>
  <c r="F9" s="1"/>
  <c r="F19" s="1"/>
  <c r="F18" i="15"/>
  <c r="F20" i="14"/>
  <c r="E10" i="15"/>
  <c r="E11" s="1"/>
  <c r="E22" s="1"/>
  <c r="G11" i="11"/>
  <c r="G13" i="13" s="1"/>
  <c r="G14" s="1"/>
  <c r="G8" i="11"/>
  <c r="G9" s="1"/>
  <c r="H6" l="1"/>
  <c r="G14" i="15"/>
  <c r="G15" s="1"/>
  <c r="G15" i="13"/>
  <c r="G16" s="1"/>
  <c r="F19" i="15"/>
  <c r="F20" s="1"/>
  <c r="F21" i="14"/>
  <c r="G27" i="21" l="1"/>
  <c r="G6" i="14"/>
  <c r="G9" s="1"/>
  <c r="G19" s="1"/>
  <c r="G18" i="13"/>
  <c r="G18" i="15"/>
  <c r="H11" i="11"/>
  <c r="H13" i="13" s="1"/>
  <c r="H14" s="1"/>
  <c r="H8" i="11"/>
  <c r="H9" s="1"/>
  <c r="G20" i="14"/>
  <c r="G21" s="1"/>
  <c r="F10" i="15"/>
  <c r="F11" s="1"/>
  <c r="F22" s="1"/>
  <c r="B7" i="23" l="1"/>
  <c r="H14" i="15"/>
  <c r="H15" s="1"/>
  <c r="G10"/>
  <c r="G11" s="1"/>
  <c r="H20" i="14"/>
  <c r="G19" i="15"/>
  <c r="G20" s="1"/>
  <c r="H15" i="13"/>
  <c r="H16"/>
  <c r="B10" i="21" l="1"/>
  <c r="H27"/>
  <c r="H6" i="14"/>
  <c r="H9" s="1"/>
  <c r="H19" s="1"/>
  <c r="H21" s="1"/>
  <c r="H18" i="13"/>
  <c r="H18" i="15"/>
  <c r="H19" s="1"/>
  <c r="H20" s="1"/>
  <c r="G22"/>
  <c r="H10" l="1"/>
  <c r="H11" s="1"/>
  <c r="H22" s="1"/>
  <c r="B6" i="23" s="1"/>
  <c r="B9" l="1"/>
  <c r="B17" s="1"/>
</calcChain>
</file>

<file path=xl/sharedStrings.xml><?xml version="1.0" encoding="utf-8"?>
<sst xmlns="http://schemas.openxmlformats.org/spreadsheetml/2006/main" count="1922" uniqueCount="948">
  <si>
    <t>FINANCIAL FEASIBILITY &amp; INVESTMENT DECISION MODEL</t>
  </si>
  <si>
    <t>FIN 545 · Workshop on Financial Modelling · Lovely Professional University</t>
  </si>
  <si>
    <t>Venture</t>
  </si>
  <si>
    <t>Campus Brew Café - a 30-seat café near LPU, Phagwara (GT Road)</t>
  </si>
  <si>
    <t>Investment question</t>
  </si>
  <si>
    <t>Does the café create enough value to justify the capital committed? Invest / Invest with Conditions / Do Not Invest</t>
  </si>
  <si>
    <t>Programme / Section</t>
  </si>
  <si>
    <t>M.Com</t>
  </si>
  <si>
    <t>Faculty</t>
  </si>
  <si>
    <t>Dr Basit</t>
  </si>
  <si>
    <t>Members / IDs</t>
  </si>
  <si>
    <t>Submission date</t>
  </si>
  <si>
    <t>1 October 2026</t>
  </si>
  <si>
    <t>Model horizon</t>
  </si>
  <si>
    <t>Year 0 + Year 1 to Year 5 (₹, rupees)</t>
  </si>
  <si>
    <t>SHEET GUIDE</t>
  </si>
  <si>
    <t>01-03</t>
  </si>
  <si>
    <t>Project definition · Data &amp; source register · AI research log</t>
  </si>
  <si>
    <t>04</t>
  </si>
  <si>
    <t>Assumption register (all inputs live here)</t>
  </si>
  <si>
    <t>05-11</t>
  </si>
  <si>
    <t>Operating drivers · investment &amp; funding · revenue · costs · depreciation · debt · working capital</t>
  </si>
  <si>
    <t>12-14</t>
  </si>
  <si>
    <t>Income statement · cash flow · balance sheet (integrated; balance check = 0)</t>
  </si>
  <si>
    <t>15-16</t>
  </si>
  <si>
    <t>Project free cash flow · NPV, IRR, payback and decision</t>
  </si>
  <si>
    <t>17-19</t>
  </si>
  <si>
    <t>Break-even · scenarios · sensitivity</t>
  </si>
  <si>
    <t>20-22</t>
  </si>
  <si>
    <t>Dashboard · report &amp; pitch outline · QA checks &amp; viva preparation</t>
  </si>
  <si>
    <t>01 · Project Definition</t>
  </si>
  <si>
    <t>Field</t>
  </si>
  <si>
    <t>Entry</t>
  </si>
  <si>
    <t>Quality test</t>
  </si>
  <si>
    <t>Project name</t>
  </si>
  <si>
    <t>Campus Brew Café</t>
  </si>
  <si>
    <t>Reader knows what is evaluated</t>
  </si>
  <si>
    <t>Business problem</t>
  </si>
  <si>
    <t>Students and staff around LPU want an affordable, comfortable place to eat, meet and study, but seating near the campus gate is limited at peak times.</t>
  </si>
  <si>
    <t>Measurable: crowding at peak hours</t>
  </si>
  <si>
    <t>Solution</t>
  </si>
  <si>
    <t>A 30-seat café serving beverages, snacks and meal combos at student-friendly prices.</t>
  </si>
  <si>
    <t>Directly linked to the need</t>
  </si>
  <si>
    <t>Target customer</t>
  </si>
  <si>
    <t>LPU students, faculty and staff, plus highway travellers on GT Road (LPU has 30,000+ students).</t>
  </si>
  <si>
    <t>Specific segment</t>
  </si>
  <si>
    <t>Geography</t>
  </si>
  <si>
    <t>Near LPU, Chaheru, Phagwara, Punjab (GT Road, NH-44 corridor).</t>
  </si>
  <si>
    <t>Matches data collected</t>
  </si>
  <si>
    <t>Business model (one sentence)</t>
  </si>
  <si>
    <t>The project invests about ₹ the amount in 06_Investment_Funding to provide food and beverages to students and staff in the LPU catchment in Phagwara, generating revenue through per-customer bills.</t>
  </si>
  <si>
    <t>Revenue mechanism explicit</t>
  </si>
  <si>
    <t>Unit of economics</t>
  </si>
  <si>
    <t>One paid customer visit (bill). Customers = seats × seat turns per day × days open.</t>
  </si>
  <si>
    <t>Measurable revenue unit</t>
  </si>
  <si>
    <t>Investment objective</t>
  </si>
  <si>
    <t>Capital for fit-out, equipment, licences, security deposit and opening cash buffer (Year-0 investment).</t>
  </si>
  <si>
    <t>Linked to 06_Investment_Funding</t>
  </si>
  <si>
    <t>Investment decision</t>
  </si>
  <si>
    <t>Invest / Invest with Conditions / Do Not Invest (see 16_Appraisal and 20_Dashboard).</t>
  </si>
  <si>
    <t>One of three outcomes</t>
  </si>
  <si>
    <t>02 · Data &amp; Source Register (audit trail)</t>
  </si>
  <si>
    <t>Source ID</t>
  </si>
  <si>
    <t>Source name</t>
  </si>
  <si>
    <t>Type</t>
  </si>
  <si>
    <t>Date</t>
  </si>
  <si>
    <t>URL / reference</t>
  </si>
  <si>
    <t>Variable supported</t>
  </si>
  <si>
    <t>Value / range observed</t>
  </si>
  <si>
    <t>Unit</t>
  </si>
  <si>
    <t>Used in model</t>
  </si>
  <si>
    <t>Verification status / note</t>
  </si>
  <si>
    <t>Optional action to firm up</t>
  </si>
  <si>
    <t>SRC-01</t>
  </si>
  <si>
    <t>Punjab minimum wages (WageIndicator, from state notification)</t>
  </si>
  <si>
    <t>Government notification via aggregator</t>
  </si>
  <si>
    <t>Eff. 1 May 2026</t>
  </si>
  <si>
    <t>https://wageindicator.org/en-in/ai/work-in-india/minimum-wage/20772-punjab/</t>
  </si>
  <si>
    <t>Staff pay floor</t>
  </si>
  <si>
    <t>Unskilled ₹518.69/day; semi-skilled ₹553.19; skilled ₹592.84</t>
  </si>
  <si>
    <t>₹/day</t>
  </si>
  <si>
    <t>04 Assumptions C</t>
  </si>
  <si>
    <t>VERIFIED. Aggregator of the official Punjab notification. Salaries in the model are set at or above these floors.</t>
  </si>
  <si>
    <t>Cross-check with Punjab Labour Dept notification.</t>
  </si>
  <si>
    <t>SRC-02</t>
  </si>
  <si>
    <t>The Tribune: PSERC tariff order FY2025-26</t>
  </si>
  <si>
    <t>News report on official order</t>
  </si>
  <si>
    <t>FY2025-26</t>
  </si>
  <si>
    <t>https://www.tribuneindia.com/news/punjab/no-change-in-power-tariff-for-domestic-commercial-users</t>
  </si>
  <si>
    <t>Electricity tariff</t>
  </si>
  <si>
    <t>Commercial ₹6.89-7.75 per kWh</t>
  </si>
  <si>
    <t>₹/kWh</t>
  </si>
  <si>
    <t>04 Assumptions D</t>
  </si>
  <si>
    <t>VERIFIED. Reputable newspaper reporting the official order.</t>
  </si>
  <si>
    <t>Check the PSERC FY2026-27 order on pserc.gov.in.</t>
  </si>
  <si>
    <t>SRC-03</t>
  </si>
  <si>
    <t>PSERC Tariff Order FY2026-27 (news summaries: Babushahi, The Fact News)</t>
  </si>
  <si>
    <t>6 Mar 2026</t>
  </si>
  <si>
    <t>https://www.babushahi.com/full-news.php?id=218071</t>
  </si>
  <si>
    <t>Electricity tariff direction</t>
  </si>
  <si>
    <t>Non-residential energy charges reduced for FY2026-27</t>
  </si>
  <si>
    <t>-</t>
  </si>
  <si>
    <t>VERIFIED (direction). Confirms ₹7.2/kWh is conservative.</t>
  </si>
  <si>
    <t>Read the order on pserc.gov.in for the exact commercial rate.</t>
  </si>
  <si>
    <t>SRC-04</t>
  </si>
  <si>
    <t>RBI repo rate (Aug 2026 MPC)</t>
  </si>
  <si>
    <t>Central bank</t>
  </si>
  <si>
    <t>Aug 2026</t>
  </si>
  <si>
    <t>Base lending rate</t>
  </si>
  <si>
    <t>Repo rate 5.25%</t>
  </si>
  <si>
    <t>%</t>
  </si>
  <si>
    <t>04 Assumptions I</t>
  </si>
  <si>
    <t>VERIFIED. Repo rate unchanged at 5.25%. Loan rate = repo + estimated spread.</t>
  </si>
  <si>
    <t>Ask SBI/PNB for the MSME term-loan rate.</t>
  </si>
  <si>
    <t>SRC-05</t>
  </si>
  <si>
    <t>Trading Economics: India 10-year G-Sec yield</t>
  </si>
  <si>
    <t>Market data</t>
  </si>
  <si>
    <t>15 Sep 2026</t>
  </si>
  <si>
    <t>https://tradingeconomics.com/india/government-bond-yield/news/583773</t>
  </si>
  <si>
    <t>Risk-free rate</t>
  </si>
  <si>
    <t>About 7.1%</t>
  </si>
  <si>
    <t>04 Assumptions K</t>
  </si>
  <si>
    <t>VERIFIED. Market data provider; RBI/CCIL is the primary source.</t>
  </si>
  <si>
    <t>Confirm on rbi.org.in / CCIL.</t>
  </si>
  <si>
    <t>SRC-06</t>
  </si>
  <si>
    <t>Trading Economics (CPI Aug 2026) and Akashvani/RBI policy statement</t>
  </si>
  <si>
    <t>Market data + official</t>
  </si>
  <si>
    <t>Aug-Sep 2026</t>
  </si>
  <si>
    <t>Inflation / price &amp; cost growth</t>
  </si>
  <si>
    <t>CPI 4.82% (Aug 2026); RBI FY27 projection 4.6%</t>
  </si>
  <si>
    <t>04 Assumptions A, C, D</t>
  </si>
  <si>
    <t>VERIFIED (inflation figures). Pass-through to menu prices is an estimate.</t>
  </si>
  <si>
    <t>None needed.</t>
  </si>
  <si>
    <t>SRC-07</t>
  </si>
  <si>
    <t>Careers360 (LPU profile)</t>
  </si>
  <si>
    <t>Education portal</t>
  </si>
  <si>
    <t>2022-2024</t>
  </si>
  <si>
    <t>https://www.careers360.com/question-location-of-lpu-phagwara-in-punjab</t>
  </si>
  <si>
    <t>Demand base</t>
  </si>
  <si>
    <t>30,000+ students on a 600-acre campus on GT Road</t>
  </si>
  <si>
    <t>students</t>
  </si>
  <si>
    <t>01 Project Definition; 04 turns ramp</t>
  </si>
  <si>
    <t>VERIFIED (secondary). Supports the size of the customer pool.</t>
  </si>
  <si>
    <t>Use LPU official website figures if available.</t>
  </si>
  <si>
    <t>SRC-08</t>
  </si>
  <si>
    <t>Income Tax Act - concessional corporate rate (Sec. 115BAA)</t>
  </si>
  <si>
    <t>Statute</t>
  </si>
  <si>
    <t>Current</t>
  </si>
  <si>
    <t>https://incometax.gov.in</t>
  </si>
  <si>
    <t>Tax rate</t>
  </si>
  <si>
    <t>22% + surcharge + cess = 25.17%</t>
  </si>
  <si>
    <t>04 Assumptions E</t>
  </si>
  <si>
    <t>STANDARD STATUTORY RATE. Well established; not re-opened during this session.</t>
  </si>
  <si>
    <t>Confirm on incometax.gov.in.</t>
  </si>
  <si>
    <t>SRC-09</t>
  </si>
  <si>
    <t>FSSAI licence fee schedule / shop registration</t>
  </si>
  <si>
    <t>Regulator</t>
  </si>
  <si>
    <t>https://foscos.fssai.gov.in</t>
  </si>
  <si>
    <t>Licence costs</t>
  </si>
  <si>
    <t>~₹30,000 setup; ~₹5,000 yearly renewals (estimate)</t>
  </si>
  <si>
    <t>₹</t>
  </si>
  <si>
    <t>04 Assumptions D, G</t>
  </si>
  <si>
    <t>ESTIMATE. Fees to be confirmed on the FSSAI FoSCoS portal.</t>
  </si>
  <si>
    <t>Check FoSCoS fee page (5 minutes).</t>
  </si>
  <si>
    <t>SRC-10</t>
  </si>
  <si>
    <t>Restaurant industry cost benchmarks (food cost 28-35% of sales; supplier credit 7-15 days)</t>
  </si>
  <si>
    <t>Industry rule of thumb</t>
  </si>
  <si>
    <t>General</t>
  </si>
  <si>
    <t>General industry practice</t>
  </si>
  <si>
    <t>Variable cost %, inventory and payable days</t>
  </si>
  <si>
    <t>32% ingredients + 4% packaging</t>
  </si>
  <si>
    <t>% of sales</t>
  </si>
  <si>
    <t>04 Assumptions B, F</t>
  </si>
  <si>
    <t>ESTIMATE (benchmark). Tested via sensitivity on variable cost.</t>
  </si>
  <si>
    <t>Cite a restaurant-industry report if available.</t>
  </si>
  <si>
    <t>SRC-11</t>
  </si>
  <si>
    <t>Typical supplier price ranges (e.g. IndiaMART listings) for café equipment, furniture, fit-out</t>
  </si>
  <si>
    <t>Supplier listings</t>
  </si>
  <si>
    <t>https://www.indiamart.com</t>
  </si>
  <si>
    <t>Capex items</t>
  </si>
  <si>
    <t>Equipment ₹8L, furniture ₹3.5L, interiors ₹6L, POS ₹0.8L</t>
  </si>
  <si>
    <t>04 Assumptions G, H</t>
  </si>
  <si>
    <t>ESTIMATE. Not a formal quotation.</t>
  </si>
  <si>
    <t>One supplier quote or IndiaMART screenshot would upgrade this.</t>
  </si>
  <si>
    <t>SRC-12</t>
  </si>
  <si>
    <t>Local commercial rental market near LPU / GT Road; layout estimate</t>
  </si>
  <si>
    <t>Estimate</t>
  </si>
  <si>
    <t>Property listings (99acres / MagicBricks / local brokers)</t>
  </si>
  <si>
    <t>Rent, area, seats, days</t>
  </si>
  <si>
    <t>750 sq ft at ₹90/sq ft/month; 30 seats; 330 days</t>
  </si>
  <si>
    <t>various</t>
  </si>
  <si>
    <t>04 Assumptions A, D</t>
  </si>
  <si>
    <t>ESTIMATE. Rent is the least certain input.</t>
  </si>
  <si>
    <t>Screenshot 2-3 nearby shop listings.</t>
  </si>
  <si>
    <t>SRC-13</t>
  </si>
  <si>
    <t>Menu prices of cafés near LPU (Zomato / Swiggy)</t>
  </si>
  <si>
    <t>Platform listings</t>
  </si>
  <si>
    <t>https://www.zomato.com</t>
  </si>
  <si>
    <t>Average bill, marketing</t>
  </si>
  <si>
    <t>₹160 average bill (ex-GST)</t>
  </si>
  <si>
    <t>ESTIMATE. To be checked against menus.</t>
  </si>
  <si>
    <t>Screenshot 3 café menus; compute the average.</t>
  </si>
  <si>
    <t>SRC-14</t>
  </si>
  <si>
    <t>Cost-of-equity inputs (beta, equity risk premium, start-up premium)</t>
  </si>
  <si>
    <t>Academic convention (Damodaran-style CAPM)</t>
  </si>
  <si>
    <t>https://pages.stern.nyu.edu/~adamodar/</t>
  </si>
  <si>
    <t>Discount rate</t>
  </si>
  <si>
    <t>Beta 1.0; ERP 7.0%; start-up premium 5%</t>
  </si>
  <si>
    <t>ESTIMATE. Standard CAPM structure, inputs judgement-based.</t>
  </si>
  <si>
    <t>Pull the India ERP from Damodaran.</t>
  </si>
  <si>
    <t>SRC-15</t>
  </si>
  <si>
    <t>Bank MSME term-loan terms (SBI / PNB)</t>
  </si>
  <si>
    <t>Bank</t>
  </si>
  <si>
    <t>https://sbi.co.in</t>
  </si>
  <si>
    <t>Debt share, tenor, spread</t>
  </si>
  <si>
    <t>50% debt; 5 years; repo + ~4.75%</t>
  </si>
  <si>
    <t>ESTIMATE. Loan terms are indicative.</t>
  </si>
  <si>
    <t>Check SBI MSME loan page.</t>
  </si>
  <si>
    <t>03 · AI Research Log</t>
  </si>
  <si>
    <t>Tool</t>
  </si>
  <si>
    <t>Prompt / question</t>
  </si>
  <si>
    <t>AI output used</t>
  </si>
  <si>
    <t>Original source used to verify</t>
  </si>
  <si>
    <t>Verified fact</t>
  </si>
  <si>
    <t>Correction / rejection</t>
  </si>
  <si>
    <t>Final use in model</t>
  </si>
  <si>
    <t>30/09/2026</t>
  </si>
  <si>
    <t>Claude (Anthropic)</t>
  </si>
  <si>
    <t>Explain the FIN 545 assignment and suggest a project.</t>
  </si>
  <si>
    <t>Summary of the brief; project options (EV charging hub, café).</t>
  </si>
  <si>
    <t>Assignment PDF supplied by faculty.</t>
  </si>
  <si>
    <t>Rubric weights add up to 30 marks.</t>
  </si>
  <si>
    <t>EV charging hub rejected as too complex for the time available.</t>
  </si>
  <si>
    <t>Project choice: café near LPU.</t>
  </si>
  <si>
    <t>Find Punjab minimum wages effective 2026.</t>
  </si>
  <si>
    <t>Daily minimum wages by skill level.</t>
  </si>
  <si>
    <t>WageIndicator page reproducing the Punjab notification.</t>
  </si>
  <si>
    <t>Unskilled ₹518.69, semi-skilled ₹553.19, skilled ₹592.84 per day from 1 May 2026.</t>
  </si>
  <si>
    <t>None.</t>
  </si>
  <si>
    <t>Salary levels in 04_Assumptions.</t>
  </si>
  <si>
    <t>Find PSPCL / PSERC commercial electricity tariff.</t>
  </si>
  <si>
    <t>Tariff ranges for commercial consumers.</t>
  </si>
  <si>
    <t>The Tribune and Babushahi reports on PSERC tariff orders.</t>
  </si>
  <si>
    <t>Commercial ₹6.89-7.75/kWh in FY2025-26; non-residential charges reduced in FY2026-27.</t>
  </si>
  <si>
    <t>₹7.2/kWh chosen as a conservative all-in rate.</t>
  </si>
  <si>
    <t>Electricity cost in 08_Cost_Model.</t>
  </si>
  <si>
    <t>Find RBI repo rate and 10-year G-Sec yield.</t>
  </si>
  <si>
    <t>Repo 5.25%; 10Y yield ~7.1%; CPI 4.82%.</t>
  </si>
  <si>
    <t>5paisa/Akashvani (RBI policy); Trading Economics.</t>
  </si>
  <si>
    <t>Figures confirmed as of Aug-Sep 2026.</t>
  </si>
  <si>
    <t>Loan spread and equity premium are the modeller's estimates, not AI facts.</t>
  </si>
  <si>
    <t>Interest rate, risk-free rate, price growth.</t>
  </si>
  <si>
    <t>04 · Assumption Register (control centre)</t>
  </si>
  <si>
    <t>ID</t>
  </si>
  <si>
    <t>Assumption</t>
  </si>
  <si>
    <t>Value</t>
  </si>
  <si>
    <t>Period</t>
  </si>
  <si>
    <t>Rationale / estimation method</t>
  </si>
  <si>
    <t>What happens if it is wrong</t>
  </si>
  <si>
    <t>Status</t>
  </si>
  <si>
    <t>A. OPERATING DRIVERS</t>
  </si>
  <si>
    <t>A02</t>
  </si>
  <si>
    <t>Seating capacity</t>
  </si>
  <si>
    <t>seats</t>
  </si>
  <si>
    <t>at launch</t>
  </si>
  <si>
    <t>Shop of ~750 sq ft at ~25 sq ft per seat (kitchen/counter take the rest). Capacity is the physical ceiling on customers.</t>
  </si>
  <si>
    <t>Fewer seats = lower revenue ceiling; more seats = higher rent/fit-out</t>
  </si>
  <si>
    <t>A03</t>
  </si>
  <si>
    <t>Operating days per year</t>
  </si>
  <si>
    <t>days/yr</t>
  </si>
  <si>
    <t>annual</t>
  </si>
  <si>
    <t>Open ~330 days; closed for festivals and some semester-break days near a university campus.</t>
  </si>
  <si>
    <t>Volume moves 1:1 with days</t>
  </si>
  <si>
    <t>A04</t>
  </si>
  <si>
    <t>Average bill per customer (ex-GST)</t>
  </si>
  <si>
    <t>₹/customer</t>
  </si>
  <si>
    <t>Year 1</t>
  </si>
  <si>
    <t>Typical campus-café ticket: a hot/cold beverage plus a snack or a meal combo. To confirm against menus of nearby cafés on Zomato/Swiggy.</t>
  </si>
  <si>
    <t>Revenue moves 1:1 (tested in sensitivity)</t>
  </si>
  <si>
    <t>A05</t>
  </si>
  <si>
    <t>Annual price increase (Year 2-5)</t>
  </si>
  <si>
    <t>% p.a.</t>
  </si>
  <si>
    <t>Year 2-5</t>
  </si>
  <si>
    <t>Menu prices assumed to rise roughly with inflation. India CPI was 4.82% in Aug 2026 and RBI projects 4.6% for FY27.</t>
  </si>
  <si>
    <t>Lower price growth reduces later-year revenue</t>
  </si>
  <si>
    <t>Partly verified</t>
  </si>
  <si>
    <t>B. VARIABLE COSTS (change with number of customers)</t>
  </si>
  <si>
    <t>A07</t>
  </si>
  <si>
    <t>Food &amp; beverage ingredients</t>
  </si>
  <si>
    <t>Cafés commonly run food cost near 28-35% of sales; 32% chosen. Rule-of-thumb benchmark, stress-tested in sensitivity.</t>
  </si>
  <si>
    <t>Each 1 pt of margin = 1% of sales in profit</t>
  </si>
  <si>
    <t>A08</t>
  </si>
  <si>
    <t>Packaging &amp; consumables</t>
  </si>
  <si>
    <t>Cups, napkins, takeaway boxes, cleaning consumables.</t>
  </si>
  <si>
    <t>Small</t>
  </si>
  <si>
    <t>C. STAFF (fixed cost)</t>
  </si>
  <si>
    <t>A10</t>
  </si>
  <si>
    <t>Cook / chef - headcount</t>
  </si>
  <si>
    <t>persons</t>
  </si>
  <si>
    <t>One skilled cook for kitchen operations.</t>
  </si>
  <si>
    <t>Understaffing hurts service</t>
  </si>
  <si>
    <t>A11</t>
  </si>
  <si>
    <t>Cook / chef - salary</t>
  </si>
  <si>
    <t>₹/month</t>
  </si>
  <si>
    <t>monthly</t>
  </si>
  <si>
    <t>Above Punjab skilled minimum wage (₹592.84/day ≈ ₹15,400/month for 26 days).</t>
  </si>
  <si>
    <t>Payroll is the biggest fixed cost</t>
  </si>
  <si>
    <t>Floor verified; level estimated</t>
  </si>
  <si>
    <t>A12</t>
  </si>
  <si>
    <t>Counter / service staff - headcount</t>
  </si>
  <si>
    <t>Two staff for counter and table service.</t>
  </si>
  <si>
    <t>A13</t>
  </si>
  <si>
    <t>Counter / service staff - salary</t>
  </si>
  <si>
    <t>Above semi-skilled minimum wage (₹553.19/day ≈ ₹14,400/month).</t>
  </si>
  <si>
    <t>A14</t>
  </si>
  <si>
    <t>Helper - headcount</t>
  </si>
  <si>
    <t>Cleaning and dishwashing.</t>
  </si>
  <si>
    <t>A15</t>
  </si>
  <si>
    <t>Helper - salary</t>
  </si>
  <si>
    <t>At unskilled minimum wage (₹518.69/day ≈ ₹13,500/month).</t>
  </si>
  <si>
    <t>Floor verified</t>
  </si>
  <si>
    <t>A16</t>
  </si>
  <si>
    <t>Manager - headcount</t>
  </si>
  <si>
    <t>One manager to run the shop (owner-operator paid a salary).</t>
  </si>
  <si>
    <t>A17</t>
  </si>
  <si>
    <t>Manager - salary</t>
  </si>
  <si>
    <t>Market-level manager pay for a small café.</t>
  </si>
  <si>
    <t>A18</t>
  </si>
  <si>
    <t>Total base monthly payroll (calculated)</t>
  </si>
  <si>
    <t>Headcount × salary, summed. Formula, not an input.</t>
  </si>
  <si>
    <t>Calculated</t>
  </si>
  <si>
    <t>A19</t>
  </si>
  <si>
    <t>Annual salary increase</t>
  </si>
  <si>
    <t>Slightly above inflation to retain staff and follow minimum-wage revisions.</t>
  </si>
  <si>
    <t>A20</t>
  </si>
  <si>
    <t>Statutory &amp; other staff on-costs</t>
  </si>
  <si>
    <t>% of salary</t>
  </si>
  <si>
    <t>PF/ESI, bonus and uniforms, added on top of salaries.</t>
  </si>
  <si>
    <t>D. RENT, UTILITIES &amp; OTHER FIXED COSTS</t>
  </si>
  <si>
    <t>A22</t>
  </si>
  <si>
    <t>Shop area rented</t>
  </si>
  <si>
    <t>sq ft</t>
  </si>
  <si>
    <t>Matches 30-seat layout.</t>
  </si>
  <si>
    <t>A23</t>
  </si>
  <si>
    <t>Rent per sq ft</t>
  </si>
  <si>
    <t>₹/sq ft/month</t>
  </si>
  <si>
    <t>Commercial shop rent on GT Road / near campus. Replace with an actual listing or landlord quote if you can.</t>
  </si>
  <si>
    <t>Rent is ~25% of fixed costs</t>
  </si>
  <si>
    <t>A24</t>
  </si>
  <si>
    <t>Annual rent escalation</t>
  </si>
  <si>
    <t>Typical lease escalation of ~5% a year.</t>
  </si>
  <si>
    <t>A25</t>
  </si>
  <si>
    <t>Electricity use at Year-1 volume</t>
  </si>
  <si>
    <t>kWh/month</t>
  </si>
  <si>
    <t>AC, refrigeration, lighting, kitchen appliances.</t>
  </si>
  <si>
    <t>A26</t>
  </si>
  <si>
    <t>Share of electricity that is fixed (rest moves with customers)</t>
  </si>
  <si>
    <t>Semi-variable cost: fridges and lighting are constant, cooking/AC load rises with customers.</t>
  </si>
  <si>
    <t>A27</t>
  </si>
  <si>
    <t>Electricity tariff (commercial, all-in)</t>
  </si>
  <si>
    <t>PSERC commercial tariff was ₹6.89-7.75/kWh in FY2025-26; FY2026-27 order reduced non-residential energy charges. ₹7.2 is a conservative all-in figure.</t>
  </si>
  <si>
    <t>Small effect</t>
  </si>
  <si>
    <t>Verified range</t>
  </si>
  <si>
    <t>A28</t>
  </si>
  <si>
    <t>LPG, water &amp; other kitchen utilities</t>
  </si>
  <si>
    <t>Cooking gas and water.</t>
  </si>
  <si>
    <t>A29</t>
  </si>
  <si>
    <t>Marketing &amp; promotions</t>
  </si>
  <si>
    <t>Social media, student offers, loyalty discounts. Fixed budget.</t>
  </si>
  <si>
    <t>A30</t>
  </si>
  <si>
    <t>Insurance</t>
  </si>
  <si>
    <t>₹/year</t>
  </si>
  <si>
    <t>Fire and contents cover.</t>
  </si>
  <si>
    <t>A31</t>
  </si>
  <si>
    <t>Other fixed costs (accounting, POS subscription, cleaning)</t>
  </si>
  <si>
    <t>Bookkeeping, software, misc.</t>
  </si>
  <si>
    <t>A32</t>
  </si>
  <si>
    <t>Licence renewals (FSSAI, shop registration)</t>
  </si>
  <si>
    <t>Annual renewal of food-safety and shop licences.</t>
  </si>
  <si>
    <t>A33</t>
  </si>
  <si>
    <t>Maintenance (% of equipment, furniture &amp; tech cost)</t>
  </si>
  <si>
    <t>% of cost</t>
  </si>
  <si>
    <t>Repairs and servicing; kept separate from capex.</t>
  </si>
  <si>
    <t>A34</t>
  </si>
  <si>
    <t>General cost inflation (utilities, marketing, insurance, other)</t>
  </si>
  <si>
    <t>In line with CPI trend.</t>
  </si>
  <si>
    <t>E. TAX</t>
  </si>
  <si>
    <t>A36</t>
  </si>
  <si>
    <t>Corporate income tax rate</t>
  </si>
  <si>
    <t>Domestic company under the concessional regime (22% + surcharge + cess = 25.17%). Losses are not carried forward (conservative).</t>
  </si>
  <si>
    <t>Tax only bites once profits appear</t>
  </si>
  <si>
    <t>Statutory</t>
  </si>
  <si>
    <t>F. WORKING CAPITAL</t>
  </si>
  <si>
    <t>A38</t>
  </si>
  <si>
    <t>Receivable days</t>
  </si>
  <si>
    <t>days</t>
  </si>
  <si>
    <t>Most customers pay at once (cash/UPI); UPI/card settlement lags about 2 days.</t>
  </si>
  <si>
    <t>A39</t>
  </si>
  <si>
    <t>Inventory days (on variable cost)</t>
  </si>
  <si>
    <t>Fresh ingredients bought weekly.</t>
  </si>
  <si>
    <t>A40</t>
  </si>
  <si>
    <t>Payable days (on variable cost)</t>
  </si>
  <si>
    <t>Suppliers typically allow 7-15 days for small buyers.</t>
  </si>
  <si>
    <t>A41</t>
  </si>
  <si>
    <t>Opening cash buffer (months of Year-1 operating cost)</t>
  </si>
  <si>
    <t>months</t>
  </si>
  <si>
    <t>Year 0</t>
  </si>
  <si>
    <t>Cash needed to cover running costs while sales ramp up. Derived from the cost model, not chosen arbitrarily.</t>
  </si>
  <si>
    <t>A thin buffer risks running out of cash</t>
  </si>
  <si>
    <t>G. YEAR-0 INVESTMENT</t>
  </si>
  <si>
    <t>A43</t>
  </si>
  <si>
    <t>Kitchen equipment (coffee machine, grill, fridges, etc.)</t>
  </si>
  <si>
    <t>Typical supplier price range for a small café kitchen. Get one quotation if possible.</t>
  </si>
  <si>
    <t>Changes capex and depreciation</t>
  </si>
  <si>
    <t>A44</t>
  </si>
  <si>
    <t>Furniture &amp; fixtures (30 seats)</t>
  </si>
  <si>
    <t>~₹11,700 per seat incl. counters and shelves.</t>
  </si>
  <si>
    <t>A45</t>
  </si>
  <si>
    <t>Interiors / fit-out</t>
  </si>
  <si>
    <t>~₹800 per sq ft for lighting, flooring, painting, signage.</t>
  </si>
  <si>
    <t>A46</t>
  </si>
  <si>
    <t>POS, software &amp; CCTV</t>
  </si>
  <si>
    <t>Billing system and basic security.</t>
  </si>
  <si>
    <t>A47</t>
  </si>
  <si>
    <t>Licences &amp; registration</t>
  </si>
  <si>
    <t>FSSAI, shop and establishment, fire/health approvals.</t>
  </si>
  <si>
    <t>A48</t>
  </si>
  <si>
    <t>Pre-opening &amp; setup costs</t>
  </si>
  <si>
    <t>Staff training, launch marketing, opening stock.</t>
  </si>
  <si>
    <t>A49</t>
  </si>
  <si>
    <t>Contingency (% of the six items above)</t>
  </si>
  <si>
    <t>Small allowance for cost overruns; applied only to the listed items.</t>
  </si>
  <si>
    <t>A50</t>
  </si>
  <si>
    <t>Refundable security deposit (months of rent)</t>
  </si>
  <si>
    <t>Standard 2-3 months of rent; refunded at end of the lease.</t>
  </si>
  <si>
    <t>H. USEFUL LIVES (straight-line)</t>
  </si>
  <si>
    <t>A52</t>
  </si>
  <si>
    <t>Kitchen equipment</t>
  </si>
  <si>
    <t>years</t>
  </si>
  <si>
    <t>Typical commercial equipment life.</t>
  </si>
  <si>
    <t>A53</t>
  </si>
  <si>
    <t>Furniture &amp; fixtures</t>
  </si>
  <si>
    <t>A54</t>
  </si>
  <si>
    <t>Limited to the assumed 5-year lease.</t>
  </si>
  <si>
    <t>A55</t>
  </si>
  <si>
    <t>POS / technology</t>
  </si>
  <si>
    <t>Shorter tech life.</t>
  </si>
  <si>
    <t>A56</t>
  </si>
  <si>
    <t>Pre-operative expenses (amortised)</t>
  </si>
  <si>
    <t>Licences, pre-opening and contingency are capitalised and written off over 5 years.</t>
  </si>
  <si>
    <t>I. FUNDING</t>
  </si>
  <si>
    <t>A58</t>
  </si>
  <si>
    <t>Debt share of total investment</t>
  </si>
  <si>
    <t>Half funded by a bank/MSME term loan, half by promoter equity.</t>
  </si>
  <si>
    <t>More debt = more interest risk</t>
  </si>
  <si>
    <t>A59</t>
  </si>
  <si>
    <t>Interest rate on term loan</t>
  </si>
  <si>
    <t>RBI repo rate is 5.25%; small-business loans price at repo plus a spread of roughly 4-5%. Confirm with a bank.</t>
  </si>
  <si>
    <t>Repo verified; spread estimated</t>
  </si>
  <si>
    <t>A60</t>
  </si>
  <si>
    <t>Loan tenor (equal annual principal repayments)</t>
  </si>
  <si>
    <t>Repayment starts in Year 1.</t>
  </si>
  <si>
    <t>J. TERMINAL VALUE</t>
  </si>
  <si>
    <t>A62</t>
  </si>
  <si>
    <t>Resale value of equipment/furniture at end of Year 5 (% of book value)</t>
  </si>
  <si>
    <t>Year 5</t>
  </si>
  <si>
    <t>Second-hand café equipment sells at a steep discount. Conservative.</t>
  </si>
  <si>
    <t>K. DISCOUNT RATE (required return)</t>
  </si>
  <si>
    <t>A64</t>
  </si>
  <si>
    <t>Risk-free rate (10-year G-Sec yield)</t>
  </si>
  <si>
    <t>Sep 2026</t>
  </si>
  <si>
    <t>India 10-year government bond yield was about 7.1% in mid-September 2026.</t>
  </si>
  <si>
    <t>Verified</t>
  </si>
  <si>
    <t>A65</t>
  </si>
  <si>
    <t>Business risk (beta)</t>
  </si>
  <si>
    <t>x</t>
  </si>
  <si>
    <t>Set to market average; a single-outlet café is at least as risky as the market.</t>
  </si>
  <si>
    <t>A66</t>
  </si>
  <si>
    <t>Equity risk premium</t>
  </si>
  <si>
    <t>Extra return investors demand for equity over government bonds in India.</t>
  </si>
  <si>
    <t>A67</t>
  </si>
  <si>
    <t>Small-business / start-up premium</t>
  </si>
  <si>
    <t>Added because this is a new, unlisted, single-outlet business.</t>
  </si>
  <si>
    <t>A68</t>
  </si>
  <si>
    <t>Cost of equity (calculated)</t>
  </si>
  <si>
    <t>Risk-free + beta × equity risk premium + start-up premium.</t>
  </si>
  <si>
    <t>A69</t>
  </si>
  <si>
    <t>After-tax cost of debt (calculated)</t>
  </si>
  <si>
    <t>Loan interest rate × (1 − tax rate).</t>
  </si>
  <si>
    <t>A70</t>
  </si>
  <si>
    <t>Discount rate used for NPV (WACC, calculated)</t>
  </si>
  <si>
    <t>Weighted average of equity and debt costs using the funding mix.</t>
  </si>
  <si>
    <t>Higher rate = lower NPV</t>
  </si>
  <si>
    <t>L. YEAR-WISE DRIVER: seat turns per day (how many times each seat is used per day)</t>
  </si>
  <si>
    <t>Year</t>
  </si>
  <si>
    <t>Year 2</t>
  </si>
  <si>
    <t>Year 3</t>
  </si>
  <si>
    <t>Year 4</t>
  </si>
  <si>
    <t>Seat turns per day</t>
  </si>
  <si>
    <t>Basis (SRC-12 / SRC-07): A new café fills slowly; turns ramp from 2.5 to 4.0 as the outlet becomes known to about 30,000+ LPU students and staff (SRC-07). One turn = one customer group occupies a seat, pays and leaves. Estimate; if wrong, revenue moves in direct proportion (tested in sensitivity as "volume").</t>
  </si>
  <si>
    <t>05 · Operating Drivers</t>
  </si>
  <si>
    <t>₹ (unless stated)</t>
  </si>
  <si>
    <t>Type / unit</t>
  </si>
  <si>
    <t>Year index (used in formulas)</t>
  </si>
  <si>
    <t>Units: seating capacity</t>
  </si>
  <si>
    <t>turns/day</t>
  </si>
  <si>
    <t>Operating days</t>
  </si>
  <si>
    <t>Transactions per unit per year (fills per seat)</t>
  </si>
  <si>
    <t>per seat/yr</t>
  </si>
  <si>
    <t>Average price per transaction (bill)</t>
  </si>
  <si>
    <t>Total customers per year</t>
  </si>
  <si>
    <t>customers</t>
  </si>
  <si>
    <t>Customers per day</t>
  </si>
  <si>
    <t>customers/day</t>
  </si>
  <si>
    <t>Unit of economics: ONE CUSTOMER VISIT (a paid bill). Customers = seats × turns/day × days open.</t>
  </si>
  <si>
    <t>06 · Year-0 Investment &amp; Funding</t>
  </si>
  <si>
    <t>Cash committed before the café opens. Funding must equal investment.</t>
  </si>
  <si>
    <t>Investment item</t>
  </si>
  <si>
    <t>Basis</t>
  </si>
  <si>
    <t>Assumption G</t>
  </si>
  <si>
    <t>Pre-opening &amp; setup</t>
  </si>
  <si>
    <t>Contingency</t>
  </si>
  <si>
    <t>5% of items above</t>
  </si>
  <si>
    <t>Fixed assets &amp; pre-operative expenses</t>
  </si>
  <si>
    <t>Refundable security deposit</t>
  </si>
  <si>
    <t>Months of Year-1 rent (refunded at end of lease)</t>
  </si>
  <si>
    <t>Initial working capital (opening cash buffer)</t>
  </si>
  <si>
    <t>Months of Year-1 operating cost from 08_Cost_Model (not arbitrary)</t>
  </si>
  <si>
    <t>TOTAL INITIAL INVESTMENT (Year 0)</t>
  </si>
  <si>
    <t>FUNDING</t>
  </si>
  <si>
    <t>Bank term loan (debt)</t>
  </si>
  <si>
    <t>Debt share × total investment</t>
  </si>
  <si>
    <t>Promoter equity</t>
  </si>
  <si>
    <t>Balancing: total investment − debt</t>
  </si>
  <si>
    <t>Total funding</t>
  </si>
  <si>
    <t>Check: funding − investment (must be 0)</t>
  </si>
  <si>
    <t>Split used for depreciation: physical assets = rows 5-8; pre-operative = licences + pre-opening + contingency.</t>
  </si>
  <si>
    <t>07 · Driver-Based Revenue Model</t>
  </si>
  <si>
    <t>Revenue = Units × Transactions per unit × Average price (all linked from 05_Operating_Drivers).</t>
  </si>
  <si>
    <t>Units (seats)</t>
  </si>
  <si>
    <t>Transactions per unit per year</t>
  </si>
  <si>
    <t>per seat</t>
  </si>
  <si>
    <t>Average price per transaction</t>
  </si>
  <si>
    <t>Core revenue (café sales)</t>
  </si>
  <si>
    <t>Other revenue (none assumed)</t>
  </si>
  <si>
    <t>Total revenue (ex-GST)</t>
  </si>
  <si>
    <t>Revenue growth</t>
  </si>
  <si>
    <t>08 · Driver-Based Cost Model</t>
  </si>
  <si>
    <t>Variable, fixed and semi-variable costs kept separate. Variable = % of sales; fixed = documented amounts; electricity is semi-variable.</t>
  </si>
  <si>
    <t>Customers per year</t>
  </si>
  <si>
    <t>driver</t>
  </si>
  <si>
    <t>Ingredients (F&amp;B cost)</t>
  </si>
  <si>
    <t>Variable</t>
  </si>
  <si>
    <t>Total variable cost</t>
  </si>
  <si>
    <t>Variable cost per customer</t>
  </si>
  <si>
    <t>Salaries incl. on-costs</t>
  </si>
  <si>
    <t>Fixed</t>
  </si>
  <si>
    <t>Headcount × salary × 12, +6% p.a., +8% on-costs</t>
  </si>
  <si>
    <t>Rent</t>
  </si>
  <si>
    <t>Area × rate × 12, +5% p.a.</t>
  </si>
  <si>
    <t>Electricity</t>
  </si>
  <si>
    <t>Semi-variable</t>
  </si>
  <si>
    <t>60% fixed + 40% moves with customers</t>
  </si>
  <si>
    <t>LPG, water &amp; kitchen utilities</t>
  </si>
  <si>
    <t>Marketing</t>
  </si>
  <si>
    <t>Maintenance</t>
  </si>
  <si>
    <t>Licence renewals</t>
  </si>
  <si>
    <t>Other fixed costs</t>
  </si>
  <si>
    <t>Total fixed &amp; semi-variable operating cost</t>
  </si>
  <si>
    <t>Total operating cost (before depreciation &amp; interest)</t>
  </si>
  <si>
    <t>Quality test: if revenue doubled, ingredients and packaging double, electricity rises partly (40% moves), and salaries/rent stay fixed.</t>
  </si>
  <si>
    <t>09 · Asset Register &amp; Depreciation</t>
  </si>
  <si>
    <t>Asset</t>
  </si>
  <si>
    <t>Initial cost ₹</t>
  </si>
  <si>
    <t>Useful life (yrs)</t>
  </si>
  <si>
    <t>Method</t>
  </si>
  <si>
    <t>Annual depreciation</t>
  </si>
  <si>
    <t>Year-1 NBV</t>
  </si>
  <si>
    <t>Year-5 NBV</t>
  </si>
  <si>
    <t>Source / basis</t>
  </si>
  <si>
    <t>Straight-line</t>
  </si>
  <si>
    <t>Pre-operative expenses (licences, pre-opening, contingency)</t>
  </si>
  <si>
    <t>Year-wise schedule</t>
  </si>
  <si>
    <t>Year index</t>
  </si>
  <si>
    <t>Depreciation - Kitchen equipment</t>
  </si>
  <si>
    <t>Expense</t>
  </si>
  <si>
    <t>Depreciation - Furniture &amp; fixtures</t>
  </si>
  <si>
    <t>Depreciation - Interiors / fit-out</t>
  </si>
  <si>
    <t>Depreciation - POS, software &amp; CCTV</t>
  </si>
  <si>
    <t>Depreciation - Pre-operative expenses</t>
  </si>
  <si>
    <t>Total depreciation &amp; amortisation</t>
  </si>
  <si>
    <t>Net book value - Kitchen equipment</t>
  </si>
  <si>
    <t>Net book value - Furniture &amp; fixtures</t>
  </si>
  <si>
    <t>Net book value - Interiors / fit-out</t>
  </si>
  <si>
    <t>Net book value - POS, software &amp; CCTV</t>
  </si>
  <si>
    <t>Net book value - Pre-operative expenses</t>
  </si>
  <si>
    <t>Total net book value</t>
  </si>
  <si>
    <t>NBV of physical assets (used for salvage)</t>
  </si>
  <si>
    <t>10 · Debt Schedule</t>
  </si>
  <si>
    <t>Term loan with equal annual principal repayments. Interest is charged on the opening balance.</t>
  </si>
  <si>
    <t>Opening debt</t>
  </si>
  <si>
    <t>New borrowing</t>
  </si>
  <si>
    <t>Principal repayment</t>
  </si>
  <si>
    <t>Closing debt</t>
  </si>
  <si>
    <t>Interest rate</t>
  </si>
  <si>
    <t>Interest expense</t>
  </si>
  <si>
    <t>11 · Working Capital</t>
  </si>
  <si>
    <t>Receivables, inventory and payables linked to the operating cycle. An increase in NWC uses cash.</t>
  </si>
  <si>
    <t>Revenue</t>
  </si>
  <si>
    <t>link</t>
  </si>
  <si>
    <t>Variable cost</t>
  </si>
  <si>
    <t>Inventory days</t>
  </si>
  <si>
    <t>Payable days</t>
  </si>
  <si>
    <t>Accounts receivable</t>
  </si>
  <si>
    <t>Inventory</t>
  </si>
  <si>
    <t>Accounts payable</t>
  </si>
  <si>
    <t>Liability</t>
  </si>
  <si>
    <t>Net working capital (AR + Inventory − AP)</t>
  </si>
  <si>
    <t>Change in NWC (increase = cash used)</t>
  </si>
  <si>
    <t>12 · Projected Income Statement</t>
  </si>
  <si>
    <t>All figures linked from the schedules; nothing typed twice. Tax = 25.17% of positive profit only (no loss carry-forward).</t>
  </si>
  <si>
    <t>Gross contribution</t>
  </si>
  <si>
    <t>Fixed operating cost</t>
  </si>
  <si>
    <t>EBITDA</t>
  </si>
  <si>
    <t>Depreciation &amp; amortisation</t>
  </si>
  <si>
    <t>EBIT</t>
  </si>
  <si>
    <t>Profit before tax</t>
  </si>
  <si>
    <t>Tax</t>
  </si>
  <si>
    <t>Net profit</t>
  </si>
  <si>
    <t>EBITDA margin</t>
  </si>
  <si>
    <t>Net profit margin</t>
  </si>
  <si>
    <t>13 · Projected Cash Flow Statement</t>
  </si>
  <si>
    <t>Add: depreciation &amp; amortisation (non-cash)</t>
  </si>
  <si>
    <t>Less: increase in net working capital</t>
  </si>
  <si>
    <t>Cash flow from operations</t>
  </si>
  <si>
    <t>Capex, pre-operative costs &amp; security deposit</t>
  </si>
  <si>
    <t>Cash flow from investing</t>
  </si>
  <si>
    <t>Promoter equity introduced</t>
  </si>
  <si>
    <t>Cash flow from financing</t>
  </si>
  <si>
    <t>Net change in cash</t>
  </si>
  <si>
    <t>Opening cash</t>
  </si>
  <si>
    <t>Closing cash</t>
  </si>
  <si>
    <t>14 · Projected Balance Sheet</t>
  </si>
  <si>
    <t>Control check: Total assets − (liabilities + equity) must be zero in every year.</t>
  </si>
  <si>
    <t>Net fixed assets &amp; unamortised pre-operative costs</t>
  </si>
  <si>
    <t>Cash</t>
  </si>
  <si>
    <t>TOTAL ASSETS</t>
  </si>
  <si>
    <t>Bank term loan</t>
  </si>
  <si>
    <t>TOTAL LIABILITIES</t>
  </si>
  <si>
    <t>Promoter equity (share capital)</t>
  </si>
  <si>
    <t>Retained earnings</t>
  </si>
  <si>
    <t>TOTAL EQUITY</t>
  </si>
  <si>
    <t>TOTAL LIABILITIES &amp; EQUITY</t>
  </si>
  <si>
    <t>BALANCE CHECK (must be 0)</t>
  </si>
  <si>
    <t>15 · Project Free Cash Flow</t>
  </si>
  <si>
    <t>Measures the café as a project, independent of how it is financed: NO interest, NO loan drawdown, NO principal repayment.</t>
  </si>
  <si>
    <t>EBIT (operating profit)</t>
  </si>
  <si>
    <t>Tax on EBIT</t>
  </si>
  <si>
    <t>NOPAT (EBIT − tax on EBIT)</t>
  </si>
  <si>
    <t>Add: depreciation &amp; amortisation</t>
  </si>
  <si>
    <t>Less: capex &amp; pre-operative costs</t>
  </si>
  <si>
    <t>Less: security deposit paid</t>
  </si>
  <si>
    <t>Less: initial working capital (cash buffer)</t>
  </si>
  <si>
    <t>Less: increase in NWC</t>
  </si>
  <si>
    <t>After-tax salvage value of assets (Year 5)</t>
  </si>
  <si>
    <t>Release of initial working capital (Year 5)</t>
  </si>
  <si>
    <t>Refund of security deposit (Year 5)</t>
  </si>
  <si>
    <t>PROJECT FREE CASH FLOW</t>
  </si>
  <si>
    <t>Cumulative Project FCF</t>
  </si>
  <si>
    <t>Salvage: resale = 25% of physical-asset book value at Year 5; tax on any gain is zero because resale is below book value.</t>
  </si>
  <si>
    <t>16 · Investment Appraisal (NPV, IRR, Payback)</t>
  </si>
  <si>
    <t>All metrics use the SAME Project FCF series from 15_Project_FCF.</t>
  </si>
  <si>
    <t>Required return (WACC)</t>
  </si>
  <si>
    <t>Project FCF</t>
  </si>
  <si>
    <t>Discount factor</t>
  </si>
  <si>
    <t>Present value of FCF</t>
  </si>
  <si>
    <t>Payback helper (fraction-of-year recovery)</t>
  </si>
  <si>
    <t>NPV (₹)</t>
  </si>
  <si>
    <t>Year-0 FCF + PV of Years 1-5 at the required return</t>
  </si>
  <si>
    <t>NPV cross-check (sum of PVs)</t>
  </si>
  <si>
    <t>Project IRR</t>
  </si>
  <si>
    <t>IRR minus required return</t>
  </si>
  <si>
    <t>Payback period (years)</t>
  </si>
  <si>
    <t>Profitability index (PV of inflows ÷ investment)</t>
  </si>
  <si>
    <t>BASE-CASE DECISION</t>
  </si>
  <si>
    <t>Decision rule: "Invest" if NPV&gt;0, IRR&gt;required return AND the pessimistic NPV is also &gt;0; "Invest with Conditions" if only the base case clears the hurdle; else "Do Not Invest".</t>
  </si>
  <si>
    <t>17 · Break-Even &amp; Margin of Safety</t>
  </si>
  <si>
    <t>How many customers must the café serve to cover its fixed costs?</t>
  </si>
  <si>
    <t>Year-1 break-even (EBITDA level)</t>
  </si>
  <si>
    <t>Selling price per customer (Year 1)</t>
  </si>
  <si>
    <t>Variable cost per customer (Year 1)</t>
  </si>
  <si>
    <t>Contribution per customer</t>
  </si>
  <si>
    <t>Contribution margin %</t>
  </si>
  <si>
    <t>Annual fixed operating costs (Year 1)</t>
  </si>
  <si>
    <t>Break-even customers per year</t>
  </si>
  <si>
    <t>Break-even customers per day</t>
  </si>
  <si>
    <t>Break-even revenue per year (₹)</t>
  </si>
  <si>
    <t>Projected Year-1 customers</t>
  </si>
  <si>
    <t>Margin of safety (customers)</t>
  </si>
  <si>
    <t>Margin of safety %</t>
  </si>
  <si>
    <t>Break-even seat turns per day</t>
  </si>
  <si>
    <t>Reading</t>
  </si>
  <si>
    <t>Break-even by year</t>
  </si>
  <si>
    <t>Price per customer</t>
  </si>
  <si>
    <t>Projected customers per day</t>
  </si>
  <si>
    <t>Including depreciation and interest (full accounting break-even, Year 1)</t>
  </si>
  <si>
    <t>Break-even customers per day incl. depreciation &amp; interest</t>
  </si>
  <si>
    <t>18 · Scenario Analysis</t>
  </si>
  <si>
    <t>Each scenario re-runs the whole economics (revenue → costs → tax → working capital → FCF → NPV/IRR). Year-0 investment is held at the base case.</t>
  </si>
  <si>
    <t>Scenario</t>
  </si>
  <si>
    <t>Volume change</t>
  </si>
  <si>
    <t>Price change</t>
  </si>
  <si>
    <t>Variable cost change</t>
  </si>
  <si>
    <t>Fixed cost change</t>
  </si>
  <si>
    <t>Justification</t>
  </si>
  <si>
    <t>Pessimistic</t>
  </si>
  <si>
    <t>Template downside: weaker footfall (semester break/competitor opening), discounting to win students, ingredient and rent pressure.</t>
  </si>
  <si>
    <t>Base</t>
  </si>
  <si>
    <t>Matches the base model exactly.</t>
  </si>
  <si>
    <t>Optimistic</t>
  </si>
  <si>
    <t>Template upside: strong student adoption, premium items, better supplier terms.</t>
  </si>
  <si>
    <t>Year-1 revenue</t>
  </si>
  <si>
    <t>Year-5 revenue</t>
  </si>
  <si>
    <t>Year-5 EBITDA</t>
  </si>
  <si>
    <t>NPV</t>
  </si>
  <si>
    <t>IRR</t>
  </si>
  <si>
    <t>Payback (yrs)</t>
  </si>
  <si>
    <t>Check: scenario Base NPV − model NPV (must be 0)</t>
  </si>
  <si>
    <t>Greatest damage</t>
  </si>
  <si>
    <t>Note: electricity is treated as fixed in scenarios (its small volume-linked part is ignored); the effect is negligible.</t>
  </si>
  <si>
    <t>Scenario engine: Pessimistic</t>
  </si>
  <si>
    <t>Depreciation</t>
  </si>
  <si>
    <t>NOPAT</t>
  </si>
  <si>
    <t>Net working capital</t>
  </si>
  <si>
    <t>Change in NWC</t>
  </si>
  <si>
    <t>Terminal items (Y5)</t>
  </si>
  <si>
    <t>Cumulative FCF</t>
  </si>
  <si>
    <t>Payback helper</t>
  </si>
  <si>
    <t>Payback (years)</t>
  </si>
  <si>
    <t>Scenario engine: Base</t>
  </si>
  <si>
    <t>Scenario engine: Optimistic</t>
  </si>
  <si>
    <t>19 · Sensitivity Analysis</t>
  </si>
  <si>
    <t>One variable changed at a time (others at base). Each cell re-runs the full economics from the engine blocks below.</t>
  </si>
  <si>
    <t>Change in variable →</t>
  </si>
  <si>
    <t>Selling price</t>
  </si>
  <si>
    <t>Sales volume</t>
  </si>
  <si>
    <t>Fixed cost</t>
  </si>
  <si>
    <t>Discount rate (IRR unaffected)</t>
  </si>
  <si>
    <t>Ranking of impact on NPV</t>
  </si>
  <si>
    <t>Lowest NPV</t>
  </si>
  <si>
    <t>Highest NPV</t>
  </si>
  <si>
    <t>Swing (₹)</t>
  </si>
  <si>
    <t>Rank</t>
  </si>
  <si>
    <t>Most sensitive variable</t>
  </si>
  <si>
    <t>Check: base column NPV − model NPV (must be 0)</t>
  </si>
  <si>
    <t>±20% range used for all variables (as per assignment template); discount rate flexes as a % of the WACC (e.g. +10% of 13% = 14.3%).</t>
  </si>
  <si>
    <t>Sensitivity engine: Selling price at level 1</t>
  </si>
  <si>
    <t>Sensitivity engine: Selling price at level 2</t>
  </si>
  <si>
    <t>Sensitivity engine: Selling price at level 3</t>
  </si>
  <si>
    <t>Sensitivity engine: Selling price at level 4</t>
  </si>
  <si>
    <t>Sensitivity engine: Selling price at level 5</t>
  </si>
  <si>
    <t>Sensitivity engine: Sales volume at level 1</t>
  </si>
  <si>
    <t>Sensitivity engine: Sales volume at level 2</t>
  </si>
  <si>
    <t>Sensitivity engine: Sales volume at level 3</t>
  </si>
  <si>
    <t>Sensitivity engine: Sales volume at level 4</t>
  </si>
  <si>
    <t>Sensitivity engine: Sales volume at level 5</t>
  </si>
  <si>
    <t>Sensitivity engine: Variable cost at level 1</t>
  </si>
  <si>
    <t>Sensitivity engine: Variable cost at level 2</t>
  </si>
  <si>
    <t>Sensitivity engine: Variable cost at level 3</t>
  </si>
  <si>
    <t>Sensitivity engine: Variable cost at level 4</t>
  </si>
  <si>
    <t>Sensitivity engine: Variable cost at level 5</t>
  </si>
  <si>
    <t>Sensitivity engine: Fixed cost at level 1</t>
  </si>
  <si>
    <t>Sensitivity engine: Fixed cost at level 2</t>
  </si>
  <si>
    <t>Sensitivity engine: Fixed cost at level 3</t>
  </si>
  <si>
    <t>Sensitivity engine: Fixed cost at level 4</t>
  </si>
  <si>
    <t>Sensitivity engine: Fixed cost at level 5</t>
  </si>
  <si>
    <t>20 · Investment Committee Dashboard</t>
  </si>
  <si>
    <t>One-page decision summary. Every number is a live link; change an assumption and this page updates.</t>
  </si>
  <si>
    <t>Metric</t>
  </si>
  <si>
    <t>What it means</t>
  </si>
  <si>
    <t>Project</t>
  </si>
  <si>
    <t>Campus Brew Café, near LPU (Phagwara)</t>
  </si>
  <si>
    <t>Small 30-seat café serving students and staff</t>
  </si>
  <si>
    <t>Initial investment (Year 0)</t>
  </si>
  <si>
    <t>Cash committed before opening</t>
  </si>
  <si>
    <t>Starting operating scale</t>
  </si>
  <si>
    <t>Scale after five years</t>
  </si>
  <si>
    <t>Operating profitability</t>
  </si>
  <si>
    <t>Year-5 net profit</t>
  </si>
  <si>
    <t>Bottom-line profitability</t>
  </si>
  <si>
    <t>Minimum return the project must earn</t>
  </si>
  <si>
    <t>Value created (positive) or destroyed (negative)</t>
  </si>
  <si>
    <t>Yearly return earned on the project</t>
  </si>
  <si>
    <t>Time to recover the initial investment</t>
  </si>
  <si>
    <t>Break-even customers per day (Year 1)</t>
  </si>
  <si>
    <t>Minimum daily customers to cover fixed costs</t>
  </si>
  <si>
    <t>Break-even revenue (Year 1, ₹)</t>
  </si>
  <si>
    <t>Sales needed to cover fixed costs</t>
  </si>
  <si>
    <t>Base-case decision</t>
  </si>
  <si>
    <t>Follows the numbers: NPV, IRR, payback and downside</t>
  </si>
  <si>
    <t>Key risk (most sensitive variable)</t>
  </si>
  <si>
    <t>Variable whose ±20% swing moves NPV the most</t>
  </si>
  <si>
    <t>Downside result: pessimistic NPV</t>
  </si>
  <si>
    <t>Volume −20%, price −10%, variable cost +10%, fixed cost +10%</t>
  </si>
  <si>
    <t>Downside result: pessimistic IRR</t>
  </si>
  <si>
    <t>Return in the pessimistic case</t>
  </si>
  <si>
    <t>Optimistic NPV</t>
  </si>
  <si>
    <t>Volume +20%, price +10%, variable cost −5%, fixed cost −5%</t>
  </si>
  <si>
    <t>Chart data (linked)</t>
  </si>
  <si>
    <t>21 · Report &amp; LinkedIn Pitch Outline</t>
  </si>
  <si>
    <t>The written report follows this exact sequence. Key numbers below are live links to the model.</t>
  </si>
  <si>
    <t>Report section</t>
  </si>
  <si>
    <t>What to write</t>
  </si>
  <si>
    <t>Key number (linked)</t>
  </si>
  <si>
    <t>Where in workbook</t>
  </si>
  <si>
    <t>1. Executive Summary</t>
  </si>
  <si>
    <t>Project, investment, Year-1/Year-5 performance, NPV, IRR, payback, key risk, recommendation.</t>
  </si>
  <si>
    <t>16, 20</t>
  </si>
  <si>
    <t>2. Business Opportunity</t>
  </si>
  <si>
    <t>Problem, solution, customer, geography, business model.</t>
  </si>
  <si>
    <t>Sheet 01 text</t>
  </si>
  <si>
    <t>01</t>
  </si>
  <si>
    <t>3. Market &amp; Evidence</t>
  </si>
  <si>
    <t>Research method, sources, verification, limitations (see honest status column).</t>
  </si>
  <si>
    <t>Sources 15; see status</t>
  </si>
  <si>
    <t>02, 03</t>
  </si>
  <si>
    <t>4. Operating Model</t>
  </si>
  <si>
    <t>Seats, turns, days, average bill, unit of economics.</t>
  </si>
  <si>
    <t>05, 07</t>
  </si>
  <si>
    <t>5. Investment &amp; Funding</t>
  </si>
  <si>
    <t>Capex, deposit, opening cash, debt and equity.</t>
  </si>
  <si>
    <t>06, 09, 10</t>
  </si>
  <si>
    <t>6. Assumptions</t>
  </si>
  <si>
    <t>Most important assumptions, sources, rationale.</t>
  </si>
  <si>
    <t>Seat turns, avg bill, rent, food cost</t>
  </si>
  <si>
    <t>7. Financial Forecast</t>
  </si>
  <si>
    <t>Income statement, cash flow, balance sheet with comments.</t>
  </si>
  <si>
    <t>12, 13, 14</t>
  </si>
  <si>
    <t>8. Project FCF &amp; Appraisal</t>
  </si>
  <si>
    <t>FCF, NPV, IRR, payback and what they mean.</t>
  </si>
  <si>
    <t>15, 16</t>
  </si>
  <si>
    <t>9. Break-even</t>
  </si>
  <si>
    <t>Contribution, break-even customers per day, margin of safety.</t>
  </si>
  <si>
    <t>17</t>
  </si>
  <si>
    <t>10. Scenario &amp; Sensitivity</t>
  </si>
  <si>
    <t>Pessimistic/base/optimistic and the variable that matters most.</t>
  </si>
  <si>
    <t>18, 19</t>
  </si>
  <si>
    <t>11. Investment Recommendation</t>
  </si>
  <si>
    <t>Decision with conditions and monitoring triggers.</t>
  </si>
  <si>
    <t>12. Risks &amp; Limitations</t>
  </si>
  <si>
    <t>Commercial, operational, financial, data and model limitations (many inputs are estimates).</t>
  </si>
  <si>
    <t>See 02 status column</t>
  </si>
  <si>
    <t>02, 22</t>
  </si>
  <si>
    <t>13. References</t>
  </si>
  <si>
    <t>List SRC-01 to SRC-15.</t>
  </si>
  <si>
    <t>Sheet 02</t>
  </si>
  <si>
    <t>02</t>
  </si>
  <si>
    <t>14. Appendix</t>
  </si>
  <si>
    <t>Supporting calculations.</t>
  </si>
  <si>
    <t>Sheets 05-15</t>
  </si>
  <si>
    <t>All</t>
  </si>
  <si>
    <t>LinkedIn video (2-3 minutes) - hashtags: #LovelyProfessionalUniversity #MSOB #QDO6FINANCE #DrBasit</t>
  </si>
  <si>
    <t>0:00-0:30</t>
  </si>
  <si>
    <t>Business problem, customer and solution</t>
  </si>
  <si>
    <t>0:30-1:00</t>
  </si>
  <si>
    <t>Initial investment and funding</t>
  </si>
  <si>
    <t>1:00-1:30</t>
  </si>
  <si>
    <t>Operating drivers, revenue and cost model</t>
  </si>
  <si>
    <t>1:30-2:00</t>
  </si>
  <si>
    <t>Financial performance, NPV, IRR, payback</t>
  </si>
  <si>
    <t>2:00-2:20</t>
  </si>
  <si>
    <t>Scenarios, sensitivity and biggest risk</t>
  </si>
  <si>
    <t>2:20-2:40</t>
  </si>
  <si>
    <t>Final investment recommendation</t>
  </si>
  <si>
    <t>22 · QA Checks &amp; Viva Preparation</t>
  </si>
  <si>
    <t>Automatic checks (PASS/FAIL). All must show PASS before submission.</t>
  </si>
  <si>
    <t>Check</t>
  </si>
  <si>
    <t>Result</t>
  </si>
  <si>
    <t>What it tests</t>
  </si>
  <si>
    <t>Funding equals investment</t>
  </si>
  <si>
    <t>Debt + equity = total Year-0 investment</t>
  </si>
  <si>
    <t>Balance sheet balances in every year</t>
  </si>
  <si>
    <t>Total assets = liabilities + equity, Year 0 to 5</t>
  </si>
  <si>
    <t>Debt fully repaid by end of tenor</t>
  </si>
  <si>
    <t>Opening + new − repayment = closing; closes at zero</t>
  </si>
  <si>
    <t>Depreciation in income statement equals asset schedule</t>
  </si>
  <si>
    <t>Depreciation linked, not retyped</t>
  </si>
  <si>
    <t>Closing cash equals balance-sheet cash</t>
  </si>
  <si>
    <t>Cash flow statement reconciles to balance sheet</t>
  </si>
  <si>
    <t>Project FCF uses EBIT (excludes interest &amp; loan flows)</t>
  </si>
  <si>
    <t>FCF starts from EBIT, not net profit</t>
  </si>
  <si>
    <t>NPV and IRR use the same FCF series</t>
  </si>
  <si>
    <t>Appraisal row equals Project FCF row</t>
  </si>
  <si>
    <t>NPV formula agrees with sum of present values</t>
  </si>
  <si>
    <t>Two independent NPV calculations match</t>
  </si>
  <si>
    <t>Scenario base case equals model NPV</t>
  </si>
  <si>
    <t>Scenarios flow through the same economics</t>
  </si>
  <si>
    <t>Sensitivity base column equals model NPV</t>
  </si>
  <si>
    <t>Sensitivity engine agrees with the model</t>
  </si>
  <si>
    <t>Dashboard NPV equals appraisal NPV</t>
  </si>
  <si>
    <t>Dashboard is linked</t>
  </si>
  <si>
    <t>Contribution per customer is positive</t>
  </si>
  <si>
    <t>Break-even logic is valid</t>
  </si>
  <si>
    <t>OVERALL</t>
  </si>
  <si>
    <t>VIVA PREPARATION - plain-language answers (numbers update automatically)</t>
  </si>
  <si>
    <t>Answer</t>
  </si>
  <si>
    <t>Why did you choose this project?</t>
  </si>
  <si>
    <t>A café is easy to understand and near a large university. It lets us test a real investment decision with clear drivers: seats, turns and bills.</t>
  </si>
  <si>
    <t>What is the unit of economics?</t>
  </si>
  <si>
    <t>One paid customer visit. Revenue = seats × seat turns per day × days open × average bill.</t>
  </si>
  <si>
    <t>How did you forecast Year-1 volume?</t>
  </si>
  <si>
    <t>Where did the selling price come from?</t>
  </si>
  <si>
    <t>Average bill is an estimate based on campus-café pricing (beverage plus snack). It grows with inflation. We tested ±20% in the sensitivity analysis.</t>
  </si>
  <si>
    <t>Which costs are variable?</t>
  </si>
  <si>
    <t>Ingredients and packaging (36% of sales). Salaries and rent are fixed; electricity is semi-variable (60% fixed).</t>
  </si>
  <si>
    <t>Why is Project FCF different from accounting profit?</t>
  </si>
  <si>
    <t>FCF adds back non-cash depreciation, subtracts capex and working-capital build-up, and ignores financing. Profit ignores capex and cash timing.</t>
  </si>
  <si>
    <t>Why is interest excluded from Project FCF?</t>
  </si>
  <si>
    <t>The project is judged on its own economics. Financing is captured in the discount rate (WACC); including interest as well would double count the cost of capital.</t>
  </si>
  <si>
    <t>Why did you choose this discount rate?</t>
  </si>
  <si>
    <t>Explain the NPV formula.</t>
  </si>
  <si>
    <t>NPV = Year-0 cash flow + PV of Years 1-5 cash flows discounted at the required return. In Excel: =C8+NPV(rate, D8:H8) on 16_Appraisal.</t>
  </si>
  <si>
    <t>Explain the IRR.</t>
  </si>
  <si>
    <t>IRR is the yearly return that makes NPV zero. If IRR is above the required return the project earns more than the cost of capital.</t>
  </si>
  <si>
    <t>How did you calculate payback?</t>
  </si>
  <si>
    <t>Cumulative FCF is tracked until it turns positive; the fraction of that year = unrecovered balance ÷ that year's cash flow.</t>
  </si>
  <si>
    <t>What is your break-even?</t>
  </si>
  <si>
    <t>What happens if sales fall 20%?</t>
  </si>
  <si>
    <t>Which scenario does the greatest damage?</t>
  </si>
  <si>
    <t>Which assumption has the greatest impact on NPV?</t>
  </si>
  <si>
    <t>What would make you reject the project?</t>
  </si>
  <si>
    <t>If the pessimistic case stays deeply negative and footfall evidence (competitor visits, menu prices, quotes) does not support turns of about 3 or more per day.</t>
  </si>
  <si>
    <t>Show a random formula and change an assumption live.</t>
  </si>
  <si>
    <t>Example: change seat turns in 04_Assumptions. Revenue (07), costs (08), statements (12-14), FCF (15), NPV (16) and the dashboard all update; balance check stays zero.</t>
  </si>
  <si>
    <t>No second revenue stream assumed.</t>
  </si>
  <si>
    <t>(Straight-line depreciation. Depreciation is non-cash: it reduces profit and tax but is added back in cash flow.)</t>
  </si>
  <si>
    <t xml:space="preserve">Harleen  </t>
  </si>
  <si>
    <t>Official data sources providing reliable, justifiable and useful information</t>
  </si>
  <si>
    <t>https://www.5paisa.com/blog/rbi-mpc-meeting-schedule; https://rbi.org.in/</t>
  </si>
  <si>
    <t>https://newsonair.gov.in/rbi-to-announce-its-first-bi-monthly-monetary-policy-statement-for-financial-year-2026-27-today/</t>
  </si>
  <si>
    <t>Usage Of AI</t>
  </si>
  <si>
    <t>Assumptions set for the business model</t>
  </si>
  <si>
    <t>Revenue is built from physical capacity: seats × how often each seat is used × average bill</t>
  </si>
  <si>
    <t>Operating + investing + financing = net change in cash</t>
  </si>
  <si>
    <t>GITHUB link for REPORT</t>
  </si>
  <si>
    <t>https://github.com/harleenkaur20243/Financial-Modelling.git</t>
  </si>
  <si>
    <t>LINKED IN URL</t>
  </si>
  <si>
    <t>www.linkedin.com/in/harleen-kaur-b376a0379</t>
  </si>
</sst>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0.0"/>
    <numFmt numFmtId="167" formatCode="#,##0.0;\(#,##0.0\);\-"/>
    <numFmt numFmtId="168" formatCode="0.0000"/>
    <numFmt numFmtId="169" formatCode="#,##0;\(#,##0\)"/>
    <numFmt numFmtId="170" formatCode="0%;\-0%;0%"/>
    <numFmt numFmtId="171" formatCode="0%;\-0%;&quot;Base&quot;"/>
  </numFmts>
  <fonts count="24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4"/>
      <color rgb="FF1F3864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rgb="FF595959"/>
      <name val="Cambria"/>
      <family val="1"/>
      <scheme val="major"/>
    </font>
    <font>
      <b/>
      <sz val="10"/>
      <color rgb="FFFFFFFF"/>
      <name val="Cambria"/>
      <family val="1"/>
      <scheme val="major"/>
    </font>
    <font>
      <sz val="10"/>
      <color rgb="FF000000"/>
      <name val="Cambria"/>
      <family val="1"/>
      <scheme val="major"/>
    </font>
    <font>
      <sz val="10"/>
      <color rgb="FF008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10"/>
      <color rgb="FF008000"/>
      <name val="Cambria"/>
      <family val="1"/>
      <scheme val="major"/>
    </font>
    <font>
      <i/>
      <sz val="10"/>
      <color rgb="FF000000"/>
      <name val="Cambria"/>
      <family val="1"/>
      <scheme val="major"/>
    </font>
    <font>
      <sz val="9"/>
      <name val="Cambria"/>
      <family val="1"/>
      <scheme val="major"/>
    </font>
    <font>
      <sz val="11"/>
      <name val="Cambria"/>
      <family val="1"/>
      <scheme val="major"/>
    </font>
    <font>
      <sz val="8"/>
      <name val="Cambria"/>
      <family val="1"/>
      <scheme val="major"/>
    </font>
    <font>
      <sz val="8"/>
      <color rgb="FF808080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i/>
      <sz val="9"/>
      <color rgb="FF595959"/>
      <name val="Cambria"/>
      <family val="1"/>
      <scheme val="major"/>
    </font>
    <font>
      <sz val="10"/>
      <color rgb="FF0000FF"/>
      <name val="Cambria"/>
      <family val="1"/>
      <scheme val="major"/>
    </font>
    <font>
      <sz val="10"/>
      <name val="Cambria"/>
      <family val="1"/>
      <scheme val="major"/>
    </font>
    <font>
      <u/>
      <sz val="11"/>
      <color theme="10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FFFF00"/>
        <bgColor rgb="FFD9E1F2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164" fontId="7" fillId="0" borderId="0" xfId="0" applyNumberFormat="1" applyFont="1"/>
    <xf numFmtId="167" fontId="7" fillId="0" borderId="0" xfId="0" applyNumberFormat="1" applyFont="1"/>
    <xf numFmtId="167" fontId="6" fillId="0" borderId="0" xfId="0" applyNumberFormat="1" applyFont="1"/>
    <xf numFmtId="165" fontId="6" fillId="0" borderId="0" xfId="0" applyNumberFormat="1" applyFont="1"/>
    <xf numFmtId="3" fontId="8" fillId="0" borderId="0" xfId="0" applyNumberFormat="1" applyFont="1"/>
    <xf numFmtId="3" fontId="7" fillId="0" borderId="0" xfId="0" applyNumberFormat="1" applyFont="1"/>
    <xf numFmtId="164" fontId="6" fillId="0" borderId="0" xfId="0" applyNumberFormat="1" applyFont="1"/>
    <xf numFmtId="169" fontId="6" fillId="0" borderId="0" xfId="0" applyNumberFormat="1" applyFont="1"/>
    <xf numFmtId="165" fontId="8" fillId="0" borderId="0" xfId="0" applyNumberFormat="1" applyFont="1"/>
    <xf numFmtId="2" fontId="7" fillId="0" borderId="0" xfId="0" applyNumberFormat="1" applyFont="1"/>
    <xf numFmtId="0" fontId="8" fillId="0" borderId="0" xfId="0" applyFont="1"/>
    <xf numFmtId="3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10" fontId="9" fillId="0" borderId="0" xfId="0" applyNumberFormat="1" applyFont="1"/>
    <xf numFmtId="164" fontId="9" fillId="0" borderId="2" xfId="0" applyNumberFormat="1" applyFont="1" applyBorder="1"/>
    <xf numFmtId="168" fontId="6" fillId="0" borderId="0" xfId="0" applyNumberFormat="1" applyFont="1"/>
    <xf numFmtId="2" fontId="6" fillId="0" borderId="0" xfId="0" applyNumberFormat="1" applyFont="1"/>
    <xf numFmtId="164" fontId="8" fillId="6" borderId="0" xfId="0" applyNumberFormat="1" applyFont="1" applyFill="1"/>
    <xf numFmtId="10" fontId="8" fillId="6" borderId="0" xfId="0" applyNumberFormat="1" applyFont="1" applyFill="1"/>
    <xf numFmtId="10" fontId="6" fillId="0" borderId="0" xfId="0" applyNumberFormat="1" applyFont="1"/>
    <xf numFmtId="2" fontId="8" fillId="6" borderId="0" xfId="0" applyNumberFormat="1" applyFont="1" applyFill="1"/>
    <xf numFmtId="0" fontId="9" fillId="6" borderId="0" xfId="0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0" fontId="3" fillId="0" borderId="2" xfId="0" applyFont="1" applyBorder="1"/>
    <xf numFmtId="164" fontId="8" fillId="0" borderId="2" xfId="0" applyNumberFormat="1" applyFont="1" applyBorder="1"/>
    <xf numFmtId="164" fontId="8" fillId="6" borderId="2" xfId="0" applyNumberFormat="1" applyFont="1" applyFill="1" applyBorder="1"/>
    <xf numFmtId="2" fontId="8" fillId="6" borderId="2" xfId="0" applyNumberFormat="1" applyFont="1" applyFill="1" applyBorder="1"/>
    <xf numFmtId="1" fontId="7" fillId="0" borderId="0" xfId="0" applyNumberFormat="1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center"/>
    </xf>
    <xf numFmtId="164" fontId="8" fillId="0" borderId="0" xfId="0" applyNumberFormat="1" applyFont="1"/>
    <xf numFmtId="165" fontId="7" fillId="0" borderId="0" xfId="0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5" fillId="0" borderId="0" xfId="0" applyFont="1"/>
    <xf numFmtId="0" fontId="20" fillId="0" borderId="0" xfId="0" applyFont="1"/>
    <xf numFmtId="164" fontId="21" fillId="0" borderId="0" xfId="0" applyNumberFormat="1" applyFont="1"/>
    <xf numFmtId="0" fontId="22" fillId="0" borderId="0" xfId="0" applyFont="1"/>
    <xf numFmtId="166" fontId="7" fillId="0" borderId="0" xfId="0" applyNumberFormat="1" applyFont="1"/>
    <xf numFmtId="3" fontId="6" fillId="0" borderId="0" xfId="0" applyNumberFormat="1" applyFont="1"/>
    <xf numFmtId="3" fontId="8" fillId="0" borderId="2" xfId="0" applyNumberFormat="1" applyFont="1" applyBorder="1"/>
    <xf numFmtId="0" fontId="8" fillId="5" borderId="0" xfId="0" applyFont="1" applyFill="1"/>
    <xf numFmtId="0" fontId="3" fillId="5" borderId="0" xfId="0" applyFont="1" applyFill="1"/>
    <xf numFmtId="0" fontId="6" fillId="0" borderId="0" xfId="0" applyFont="1" applyAlignment="1">
      <alignment vertical="top" wrapText="1"/>
    </xf>
    <xf numFmtId="1" fontId="21" fillId="3" borderId="0" xfId="0" applyNumberFormat="1" applyFont="1" applyFill="1"/>
    <xf numFmtId="164" fontId="21" fillId="3" borderId="0" xfId="0" applyNumberFormat="1" applyFont="1" applyFill="1"/>
    <xf numFmtId="165" fontId="21" fillId="7" borderId="0" xfId="0" applyNumberFormat="1" applyFont="1" applyFill="1"/>
    <xf numFmtId="165" fontId="21" fillId="3" borderId="0" xfId="0" applyNumberFormat="1" applyFont="1" applyFill="1"/>
    <xf numFmtId="164" fontId="6" fillId="8" borderId="0" xfId="0" applyNumberFormat="1" applyFont="1" applyFill="1"/>
    <xf numFmtId="2" fontId="21" fillId="7" borderId="0" xfId="0" applyNumberFormat="1" applyFont="1" applyFill="1"/>
    <xf numFmtId="10" fontId="21" fillId="7" borderId="0" xfId="0" applyNumberFormat="1" applyFont="1" applyFill="1"/>
    <xf numFmtId="165" fontId="21" fillId="4" borderId="0" xfId="0" applyNumberFormat="1" applyFont="1" applyFill="1"/>
    <xf numFmtId="2" fontId="21" fillId="3" borderId="0" xfId="0" applyNumberFormat="1" applyFont="1" applyFill="1"/>
    <xf numFmtId="166" fontId="21" fillId="3" borderId="0" xfId="0" applyNumberFormat="1" applyFont="1" applyFill="1"/>
    <xf numFmtId="0" fontId="6" fillId="0" borderId="1" xfId="0" applyFont="1" applyBorder="1" applyAlignment="1">
      <alignment vertical="top" wrapText="1"/>
    </xf>
    <xf numFmtId="0" fontId="23" fillId="0" borderId="1" xfId="1" applyFont="1" applyBorder="1" applyAlignment="1" applyProtection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70" fontId="21" fillId="0" borderId="0" xfId="0" applyNumberFormat="1" applyFont="1"/>
    <xf numFmtId="0" fontId="6" fillId="5" borderId="0" xfId="0" applyFont="1" applyFill="1"/>
    <xf numFmtId="0" fontId="8" fillId="5" borderId="0" xfId="0" applyFont="1" applyFill="1" applyAlignment="1">
      <alignment horizontal="center" vertical="top"/>
    </xf>
    <xf numFmtId="164" fontId="9" fillId="0" borderId="0" xfId="0" applyNumberFormat="1" applyFont="1"/>
    <xf numFmtId="10" fontId="8" fillId="0" borderId="0" xfId="0" applyNumberFormat="1" applyFont="1"/>
    <xf numFmtId="2" fontId="8" fillId="0" borderId="0" xfId="0" applyNumberFormat="1" applyFont="1"/>
    <xf numFmtId="171" fontId="21" fillId="5" borderId="0" xfId="0" applyNumberFormat="1" applyFont="1" applyFill="1"/>
    <xf numFmtId="171" fontId="5" fillId="2" borderId="0" xfId="0" applyNumberFormat="1" applyFont="1" applyFill="1" applyAlignment="1">
      <alignment horizontal="center" vertical="center" wrapText="1"/>
    </xf>
    <xf numFmtId="1" fontId="6" fillId="0" borderId="0" xfId="0" applyNumberFormat="1" applyFont="1"/>
    <xf numFmtId="0" fontId="8" fillId="6" borderId="0" xfId="0" applyFont="1" applyFill="1"/>
    <xf numFmtId="0" fontId="8" fillId="0" borderId="1" xfId="0" applyFont="1" applyBorder="1"/>
    <xf numFmtId="0" fontId="8" fillId="6" borderId="1" xfId="0" applyFont="1" applyFill="1" applyBorder="1"/>
    <xf numFmtId="0" fontId="6" fillId="0" borderId="1" xfId="0" applyFont="1" applyBorder="1"/>
    <xf numFmtId="164" fontId="9" fillId="6" borderId="1" xfId="0" applyNumberFormat="1" applyFont="1" applyFill="1" applyBorder="1"/>
    <xf numFmtId="10" fontId="9" fillId="6" borderId="1" xfId="0" applyNumberFormat="1" applyFont="1" applyFill="1" applyBorder="1"/>
    <xf numFmtId="2" fontId="9" fillId="6" borderId="1" xfId="0" applyNumberFormat="1" applyFont="1" applyFill="1" applyBorder="1"/>
    <xf numFmtId="3" fontId="9" fillId="6" borderId="1" xfId="0" applyNumberFormat="1" applyFont="1" applyFill="1" applyBorder="1"/>
    <xf numFmtId="0" fontId="9" fillId="6" borderId="1" xfId="0" applyFont="1" applyFill="1" applyBorder="1"/>
    <xf numFmtId="165" fontId="9" fillId="6" borderId="1" xfId="0" applyNumberFormat="1" applyFont="1" applyFill="1" applyBorder="1"/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22" fillId="0" borderId="1" xfId="0" applyFont="1" applyBorder="1" applyAlignment="1">
      <alignment vertical="top" wrapText="1"/>
    </xf>
    <xf numFmtId="0" fontId="1" fillId="0" borderId="0" xfId="1" applyAlignment="1" applyProtection="1"/>
    <xf numFmtId="0" fontId="6" fillId="0" borderId="0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Revenue, EBITDA and Net profit (₹)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'20_Dashboard'!$C$25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'20_Dashboard'!$D$24:$H$24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'20_Dashboard'!$D$25:$H$25</c:f>
              <c:numCache>
                <c:formatCode>#,##0;\(#,##0\);\-</c:formatCode>
                <c:ptCount val="5"/>
                <c:pt idx="0">
                  <c:v>3960000</c:v>
                </c:pt>
                <c:pt idx="1">
                  <c:v>4989600</c:v>
                </c:pt>
                <c:pt idx="2">
                  <c:v>6112260</c:v>
                </c:pt>
                <c:pt idx="3">
                  <c:v>6967976.4000000013</c:v>
                </c:pt>
                <c:pt idx="4">
                  <c:v>7701447.5999999996</c:v>
                </c:pt>
              </c:numCache>
            </c:numRef>
          </c:val>
        </c:ser>
        <c:ser>
          <c:idx val="1"/>
          <c:order val="1"/>
          <c:tx>
            <c:strRef>
              <c:f>'20_Dashboard'!$C$26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cat>
            <c:strRef>
              <c:f>'20_Dashboard'!$D$24:$H$24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'20_Dashboard'!$D$26:$H$26</c:f>
              <c:numCache>
                <c:formatCode>#,##0;\(#,##0\);\-</c:formatCode>
                <c:ptCount val="5"/>
                <c:pt idx="0">
                  <c:v>71820</c:v>
                </c:pt>
                <c:pt idx="1">
                  <c:v>581391</c:v>
                </c:pt>
                <c:pt idx="2">
                  <c:v>1141622.2619999996</c:v>
                </c:pt>
                <c:pt idx="3">
                  <c:v>1527989.2666200013</c:v>
                </c:pt>
                <c:pt idx="4">
                  <c:v>1830144.6013301983</c:v>
                </c:pt>
              </c:numCache>
            </c:numRef>
          </c:val>
        </c:ser>
        <c:ser>
          <c:idx val="2"/>
          <c:order val="2"/>
          <c:tx>
            <c:strRef>
              <c:f>'20_Dashboard'!$C$27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cat>
            <c:strRef>
              <c:f>'20_Dashboard'!$D$24:$H$24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'20_Dashboard'!$D$27:$H$27</c:f>
              <c:numCache>
                <c:formatCode>#,##0;\(#,##0\);\-</c:formatCode>
                <c:ptCount val="5"/>
                <c:pt idx="0">
                  <c:v>-408206.5</c:v>
                </c:pt>
                <c:pt idx="1">
                  <c:v>97772.728340000001</c:v>
                </c:pt>
                <c:pt idx="2">
                  <c:v>538915.45468459977</c:v>
                </c:pt>
                <c:pt idx="3">
                  <c:v>849955.55723174685</c:v>
                </c:pt>
                <c:pt idx="4">
                  <c:v>1112946.0671853875</c:v>
                </c:pt>
              </c:numCache>
            </c:numRef>
          </c:val>
        </c:ser>
        <c:axId val="198433792"/>
        <c:axId val="198902528"/>
      </c:barChart>
      <c:catAx>
        <c:axId val="19843379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902528"/>
        <c:crosses val="autoZero"/>
        <c:auto val="1"/>
        <c:lblAlgn val="ctr"/>
        <c:lblOffset val="100"/>
      </c:catAx>
      <c:valAx>
        <c:axId val="19890252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433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160560</xdr:rowOff>
    </xdr:from>
    <xdr:to>
      <xdr:col>2</xdr:col>
      <xdr:colOff>402840</xdr:colOff>
      <xdr:row>45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linkedin.com/in/harleen-kaur-b376a0379" TargetMode="External"/><Relationship Id="rId1" Type="http://schemas.openxmlformats.org/officeDocument/2006/relationships/hyperlink" Target="https://github.com/harleenkaur20243/Financial-Modelling.gi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oscos.fssai.gov.in/" TargetMode="External"/><Relationship Id="rId13" Type="http://schemas.openxmlformats.org/officeDocument/2006/relationships/hyperlink" Target="https://newsonair.gov.in/rbi-to-announce-its-first-bi-monthly-monetary-policy-statement-for-financial-year-2026-27-today/" TargetMode="External"/><Relationship Id="rId3" Type="http://schemas.openxmlformats.org/officeDocument/2006/relationships/hyperlink" Target="https://www.babushahi.com/full-news.php?id=218071" TargetMode="External"/><Relationship Id="rId7" Type="http://schemas.openxmlformats.org/officeDocument/2006/relationships/hyperlink" Target="https://incometax.gov.in/" TargetMode="External"/><Relationship Id="rId12" Type="http://schemas.openxmlformats.org/officeDocument/2006/relationships/hyperlink" Target="https://sbi.co.in/" TargetMode="External"/><Relationship Id="rId2" Type="http://schemas.openxmlformats.org/officeDocument/2006/relationships/hyperlink" Target="https://www.tribuneindia.com/news/punjab/no-change-in-power-tariff-for-domestic-commercial-users" TargetMode="External"/><Relationship Id="rId1" Type="http://schemas.openxmlformats.org/officeDocument/2006/relationships/hyperlink" Target="https://wageindicator.org/en-in/ai/work-in-india/minimum-wage/20772-punjab/" TargetMode="External"/><Relationship Id="rId6" Type="http://schemas.openxmlformats.org/officeDocument/2006/relationships/hyperlink" Target="https://www.careers360.com/question-location-of-lpu-phagwara-in-punjab" TargetMode="External"/><Relationship Id="rId11" Type="http://schemas.openxmlformats.org/officeDocument/2006/relationships/hyperlink" Target="https://pages.stern.nyu.edu/~adamodar/" TargetMode="External"/><Relationship Id="rId5" Type="http://schemas.openxmlformats.org/officeDocument/2006/relationships/hyperlink" Target="https://tradingeconomics.com/india/government-bond-yield/news/583773" TargetMode="External"/><Relationship Id="rId10" Type="http://schemas.openxmlformats.org/officeDocument/2006/relationships/hyperlink" Target="https://www.zomato.com/" TargetMode="External"/><Relationship Id="rId4" Type="http://schemas.openxmlformats.org/officeDocument/2006/relationships/hyperlink" Target="https://www.5paisa.com/blog/rbi-mpc-meeting-schedule" TargetMode="External"/><Relationship Id="rId9" Type="http://schemas.openxmlformats.org/officeDocument/2006/relationships/hyperlink" Target="https://www.indiamart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showGridLines="0" tabSelected="1" workbookViewId="0">
      <selection activeCell="B11" sqref="B11"/>
    </sheetView>
  </sheetViews>
  <sheetFormatPr defaultColWidth="8.6640625" defaultRowHeight="13.8"/>
  <cols>
    <col min="1" max="1" width="34" style="2" customWidth="1"/>
    <col min="2" max="2" width="80" style="2" customWidth="1"/>
    <col min="3" max="16384" width="8.6640625" style="2"/>
  </cols>
  <sheetData>
    <row r="1" spans="1:2" ht="17.399999999999999">
      <c r="A1" s="1" t="s">
        <v>0</v>
      </c>
    </row>
    <row r="2" spans="1:2" s="20" customFormat="1">
      <c r="A2" s="19" t="s">
        <v>1</v>
      </c>
    </row>
    <row r="4" spans="1:2">
      <c r="A4" s="83" t="s">
        <v>2</v>
      </c>
      <c r="B4" s="68" t="s">
        <v>3</v>
      </c>
    </row>
    <row r="5" spans="1:2" ht="26.4">
      <c r="A5" s="83" t="s">
        <v>4</v>
      </c>
      <c r="B5" s="68" t="s">
        <v>5</v>
      </c>
    </row>
    <row r="6" spans="1:2">
      <c r="A6" s="83" t="s">
        <v>6</v>
      </c>
      <c r="B6" s="68" t="s">
        <v>7</v>
      </c>
    </row>
    <row r="7" spans="1:2">
      <c r="A7" s="83" t="s">
        <v>8</v>
      </c>
      <c r="B7" s="68" t="s">
        <v>9</v>
      </c>
    </row>
    <row r="8" spans="1:2">
      <c r="A8" s="83" t="s">
        <v>10</v>
      </c>
      <c r="B8" s="68" t="s">
        <v>936</v>
      </c>
    </row>
    <row r="9" spans="1:2">
      <c r="A9" s="83" t="s">
        <v>11</v>
      </c>
      <c r="B9" s="68" t="s">
        <v>12</v>
      </c>
    </row>
    <row r="10" spans="1:2">
      <c r="A10" s="83" t="s">
        <v>13</v>
      </c>
      <c r="B10" s="68" t="s">
        <v>14</v>
      </c>
    </row>
    <row r="11" spans="1:2" ht="14.4">
      <c r="A11" s="45" t="s">
        <v>944</v>
      </c>
      <c r="B11" s="96" t="s">
        <v>945</v>
      </c>
    </row>
    <row r="12" spans="1:2" ht="14.4">
      <c r="A12" s="45" t="s">
        <v>946</v>
      </c>
      <c r="B12" s="96" t="s">
        <v>947</v>
      </c>
    </row>
    <row r="14" spans="1:2">
      <c r="A14" s="4" t="s">
        <v>15</v>
      </c>
      <c r="B14" s="4"/>
    </row>
    <row r="15" spans="1:2">
      <c r="A15" s="16" t="s">
        <v>16</v>
      </c>
      <c r="B15" s="5" t="s">
        <v>17</v>
      </c>
    </row>
    <row r="16" spans="1:2">
      <c r="A16" s="16" t="s">
        <v>18</v>
      </c>
      <c r="B16" s="5" t="s">
        <v>19</v>
      </c>
    </row>
    <row r="17" spans="1:2">
      <c r="A17" s="16" t="s">
        <v>20</v>
      </c>
      <c r="B17" s="5" t="s">
        <v>21</v>
      </c>
    </row>
    <row r="18" spans="1:2">
      <c r="A18" s="16" t="s">
        <v>22</v>
      </c>
      <c r="B18" s="5" t="s">
        <v>23</v>
      </c>
    </row>
    <row r="19" spans="1:2">
      <c r="A19" s="16" t="s">
        <v>24</v>
      </c>
      <c r="B19" s="5" t="s">
        <v>25</v>
      </c>
    </row>
    <row r="20" spans="1:2">
      <c r="A20" s="16" t="s">
        <v>26</v>
      </c>
      <c r="B20" s="5" t="s">
        <v>27</v>
      </c>
    </row>
    <row r="21" spans="1:2">
      <c r="A21" s="16" t="s">
        <v>28</v>
      </c>
      <c r="B21" s="5" t="s">
        <v>29</v>
      </c>
    </row>
  </sheetData>
  <hyperlinks>
    <hyperlink ref="B11" r:id="rId1"/>
    <hyperlink ref="B12" r:id="rId2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selection activeCell="B10" sqref="B10"/>
    </sheetView>
  </sheetViews>
  <sheetFormatPr defaultColWidth="8.6640625" defaultRowHeight="13.8"/>
  <cols>
    <col min="1" max="1" width="28" style="2" customWidth="1"/>
    <col min="2" max="2" width="90" style="2" customWidth="1"/>
    <col min="3" max="3" width="40" style="2" customWidth="1"/>
    <col min="4" max="16384" width="8.6640625" style="2"/>
  </cols>
  <sheetData>
    <row r="1" spans="1:3" ht="17.399999999999999">
      <c r="A1" s="1" t="s">
        <v>30</v>
      </c>
    </row>
    <row r="4" spans="1:3">
      <c r="A4" s="4" t="s">
        <v>31</v>
      </c>
      <c r="B4" s="4" t="s">
        <v>32</v>
      </c>
      <c r="C4" s="4" t="s">
        <v>33</v>
      </c>
    </row>
    <row r="5" spans="1:3" ht="43.5" customHeight="1">
      <c r="A5" s="72" t="s">
        <v>34</v>
      </c>
      <c r="B5" s="68" t="s">
        <v>35</v>
      </c>
      <c r="C5" s="68" t="s">
        <v>36</v>
      </c>
    </row>
    <row r="6" spans="1:3" ht="43.5" customHeight="1">
      <c r="A6" s="72" t="s">
        <v>37</v>
      </c>
      <c r="B6" s="68" t="s">
        <v>38</v>
      </c>
      <c r="C6" s="68" t="s">
        <v>39</v>
      </c>
    </row>
    <row r="7" spans="1:3" ht="43.5" customHeight="1">
      <c r="A7" s="72" t="s">
        <v>40</v>
      </c>
      <c r="B7" s="68" t="s">
        <v>41</v>
      </c>
      <c r="C7" s="68" t="s">
        <v>42</v>
      </c>
    </row>
    <row r="8" spans="1:3" ht="43.5" customHeight="1">
      <c r="A8" s="72" t="s">
        <v>43</v>
      </c>
      <c r="B8" s="68" t="s">
        <v>44</v>
      </c>
      <c r="C8" s="68" t="s">
        <v>45</v>
      </c>
    </row>
    <row r="9" spans="1:3" ht="43.5" customHeight="1">
      <c r="A9" s="72" t="s">
        <v>46</v>
      </c>
      <c r="B9" s="68" t="s">
        <v>47</v>
      </c>
      <c r="C9" s="68" t="s">
        <v>48</v>
      </c>
    </row>
    <row r="10" spans="1:3" ht="43.5" customHeight="1">
      <c r="A10" s="72" t="s">
        <v>49</v>
      </c>
      <c r="B10" s="95" t="s">
        <v>50</v>
      </c>
      <c r="C10" s="68" t="s">
        <v>51</v>
      </c>
    </row>
    <row r="11" spans="1:3" ht="43.5" customHeight="1">
      <c r="A11" s="72" t="s">
        <v>52</v>
      </c>
      <c r="B11" s="68" t="s">
        <v>53</v>
      </c>
      <c r="C11" s="68" t="s">
        <v>54</v>
      </c>
    </row>
    <row r="12" spans="1:3" ht="43.5" customHeight="1">
      <c r="A12" s="72" t="s">
        <v>55</v>
      </c>
      <c r="B12" s="68" t="s">
        <v>56</v>
      </c>
      <c r="C12" s="68" t="s">
        <v>57</v>
      </c>
    </row>
    <row r="13" spans="1:3" ht="43.5" customHeight="1">
      <c r="A13" s="72" t="s">
        <v>58</v>
      </c>
      <c r="B13" s="68" t="s">
        <v>59</v>
      </c>
      <c r="C13" s="68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showGridLines="0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B13" sqref="A1:XFD1048576"/>
    </sheetView>
  </sheetViews>
  <sheetFormatPr defaultColWidth="8.6640625" defaultRowHeight="13.8"/>
  <cols>
    <col min="1" max="1" width="9" style="2" customWidth="1"/>
    <col min="2" max="2" width="34" style="2" customWidth="1"/>
    <col min="3" max="3" width="16" style="2" customWidth="1"/>
    <col min="4" max="4" width="12" style="2" customWidth="1"/>
    <col min="5" max="5" width="40" style="2" customWidth="1"/>
    <col min="6" max="6" width="26" style="2" customWidth="1"/>
    <col min="7" max="7" width="30" style="2" customWidth="1"/>
    <col min="8" max="8" width="12" style="2" customWidth="1"/>
    <col min="9" max="9" width="22" style="2" customWidth="1"/>
    <col min="10" max="10" width="46" style="2" customWidth="1"/>
    <col min="11" max="11" width="40" style="2" customWidth="1"/>
    <col min="12" max="16384" width="8.6640625" style="2"/>
  </cols>
  <sheetData>
    <row r="1" spans="1:11" ht="17.399999999999999">
      <c r="A1" s="1" t="s">
        <v>61</v>
      </c>
    </row>
    <row r="2" spans="1:11" s="45" customFormat="1">
      <c r="A2" s="48" t="s">
        <v>937</v>
      </c>
    </row>
    <row r="4" spans="1:11" ht="26.4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</row>
    <row r="5" spans="1:11" ht="61.5" customHeight="1">
      <c r="A5" s="68" t="s">
        <v>73</v>
      </c>
      <c r="B5" s="68" t="s">
        <v>74</v>
      </c>
      <c r="C5" s="68" t="s">
        <v>75</v>
      </c>
      <c r="D5" s="68" t="s">
        <v>76</v>
      </c>
      <c r="E5" s="69" t="s">
        <v>77</v>
      </c>
      <c r="F5" s="68" t="s">
        <v>78</v>
      </c>
      <c r="G5" s="68" t="s">
        <v>79</v>
      </c>
      <c r="H5" s="68" t="s">
        <v>80</v>
      </c>
      <c r="I5" s="68" t="s">
        <v>81</v>
      </c>
      <c r="J5" s="70" t="s">
        <v>82</v>
      </c>
      <c r="K5" s="68" t="s">
        <v>83</v>
      </c>
    </row>
    <row r="6" spans="1:11" ht="61.5" customHeight="1">
      <c r="A6" s="68" t="s">
        <v>84</v>
      </c>
      <c r="B6" s="68" t="s">
        <v>85</v>
      </c>
      <c r="C6" s="68" t="s">
        <v>86</v>
      </c>
      <c r="D6" s="68" t="s">
        <v>87</v>
      </c>
      <c r="E6" s="69" t="s">
        <v>88</v>
      </c>
      <c r="F6" s="68" t="s">
        <v>89</v>
      </c>
      <c r="G6" s="68" t="s">
        <v>90</v>
      </c>
      <c r="H6" s="68" t="s">
        <v>91</v>
      </c>
      <c r="I6" s="68" t="s">
        <v>92</v>
      </c>
      <c r="J6" s="70" t="s">
        <v>93</v>
      </c>
      <c r="K6" s="68" t="s">
        <v>94</v>
      </c>
    </row>
    <row r="7" spans="1:11" ht="61.5" customHeight="1">
      <c r="A7" s="68" t="s">
        <v>95</v>
      </c>
      <c r="B7" s="68" t="s">
        <v>96</v>
      </c>
      <c r="C7" s="68" t="s">
        <v>86</v>
      </c>
      <c r="D7" s="68" t="s">
        <v>97</v>
      </c>
      <c r="E7" s="69" t="s">
        <v>98</v>
      </c>
      <c r="F7" s="68" t="s">
        <v>99</v>
      </c>
      <c r="G7" s="68" t="s">
        <v>100</v>
      </c>
      <c r="H7" s="68" t="s">
        <v>101</v>
      </c>
      <c r="I7" s="68" t="s">
        <v>92</v>
      </c>
      <c r="J7" s="70" t="s">
        <v>102</v>
      </c>
      <c r="K7" s="68" t="s">
        <v>103</v>
      </c>
    </row>
    <row r="8" spans="1:11" ht="61.5" customHeight="1">
      <c r="A8" s="68" t="s">
        <v>104</v>
      </c>
      <c r="B8" s="68" t="s">
        <v>105</v>
      </c>
      <c r="C8" s="68" t="s">
        <v>106</v>
      </c>
      <c r="D8" s="68" t="s">
        <v>107</v>
      </c>
      <c r="E8" s="69" t="s">
        <v>938</v>
      </c>
      <c r="F8" s="68" t="s">
        <v>108</v>
      </c>
      <c r="G8" s="68" t="s">
        <v>109</v>
      </c>
      <c r="H8" s="68" t="s">
        <v>110</v>
      </c>
      <c r="I8" s="68" t="s">
        <v>111</v>
      </c>
      <c r="J8" s="70" t="s">
        <v>112</v>
      </c>
      <c r="K8" s="68" t="s">
        <v>113</v>
      </c>
    </row>
    <row r="9" spans="1:11" ht="61.5" customHeight="1">
      <c r="A9" s="68" t="s">
        <v>114</v>
      </c>
      <c r="B9" s="68" t="s">
        <v>115</v>
      </c>
      <c r="C9" s="68" t="s">
        <v>116</v>
      </c>
      <c r="D9" s="68" t="s">
        <v>117</v>
      </c>
      <c r="E9" s="69" t="s">
        <v>118</v>
      </c>
      <c r="F9" s="68" t="s">
        <v>119</v>
      </c>
      <c r="G9" s="68" t="s">
        <v>120</v>
      </c>
      <c r="H9" s="68" t="s">
        <v>110</v>
      </c>
      <c r="I9" s="68" t="s">
        <v>121</v>
      </c>
      <c r="J9" s="70" t="s">
        <v>122</v>
      </c>
      <c r="K9" s="68" t="s">
        <v>123</v>
      </c>
    </row>
    <row r="10" spans="1:11" ht="89.4" customHeight="1">
      <c r="A10" s="68" t="s">
        <v>124</v>
      </c>
      <c r="B10" s="68" t="s">
        <v>125</v>
      </c>
      <c r="C10" s="68" t="s">
        <v>126</v>
      </c>
      <c r="D10" s="68" t="s">
        <v>127</v>
      </c>
      <c r="E10" s="69" t="s">
        <v>939</v>
      </c>
      <c r="F10" s="68" t="s">
        <v>128</v>
      </c>
      <c r="G10" s="68" t="s">
        <v>129</v>
      </c>
      <c r="H10" s="68" t="s">
        <v>110</v>
      </c>
      <c r="I10" s="68" t="s">
        <v>130</v>
      </c>
      <c r="J10" s="70" t="s">
        <v>131</v>
      </c>
      <c r="K10" s="68" t="s">
        <v>132</v>
      </c>
    </row>
    <row r="11" spans="1:11" ht="61.5" customHeight="1">
      <c r="A11" s="68" t="s">
        <v>133</v>
      </c>
      <c r="B11" s="68" t="s">
        <v>134</v>
      </c>
      <c r="C11" s="68" t="s">
        <v>135</v>
      </c>
      <c r="D11" s="68" t="s">
        <v>136</v>
      </c>
      <c r="E11" s="69" t="s">
        <v>137</v>
      </c>
      <c r="F11" s="68" t="s">
        <v>138</v>
      </c>
      <c r="G11" s="68" t="s">
        <v>139</v>
      </c>
      <c r="H11" s="68" t="s">
        <v>140</v>
      </c>
      <c r="I11" s="68" t="s">
        <v>141</v>
      </c>
      <c r="J11" s="70" t="s">
        <v>142</v>
      </c>
      <c r="K11" s="68" t="s">
        <v>143</v>
      </c>
    </row>
    <row r="12" spans="1:11" ht="61.5" customHeight="1">
      <c r="A12" s="68" t="s">
        <v>144</v>
      </c>
      <c r="B12" s="68" t="s">
        <v>145</v>
      </c>
      <c r="C12" s="68" t="s">
        <v>146</v>
      </c>
      <c r="D12" s="68" t="s">
        <v>147</v>
      </c>
      <c r="E12" s="69" t="s">
        <v>148</v>
      </c>
      <c r="F12" s="68" t="s">
        <v>149</v>
      </c>
      <c r="G12" s="68" t="s">
        <v>150</v>
      </c>
      <c r="H12" s="68" t="s">
        <v>110</v>
      </c>
      <c r="I12" s="68" t="s">
        <v>151</v>
      </c>
      <c r="J12" s="70" t="s">
        <v>152</v>
      </c>
      <c r="K12" s="68" t="s">
        <v>153</v>
      </c>
    </row>
    <row r="13" spans="1:11" ht="61.5" customHeight="1">
      <c r="A13" s="68" t="s">
        <v>154</v>
      </c>
      <c r="B13" s="68" t="s">
        <v>155</v>
      </c>
      <c r="C13" s="68" t="s">
        <v>156</v>
      </c>
      <c r="D13" s="68" t="s">
        <v>147</v>
      </c>
      <c r="E13" s="69" t="s">
        <v>157</v>
      </c>
      <c r="F13" s="68" t="s">
        <v>158</v>
      </c>
      <c r="G13" s="68" t="s">
        <v>159</v>
      </c>
      <c r="H13" s="68" t="s">
        <v>160</v>
      </c>
      <c r="I13" s="68" t="s">
        <v>161</v>
      </c>
      <c r="J13" s="71" t="s">
        <v>162</v>
      </c>
      <c r="K13" s="68" t="s">
        <v>163</v>
      </c>
    </row>
    <row r="14" spans="1:11" ht="61.5" customHeight="1">
      <c r="A14" s="68" t="s">
        <v>164</v>
      </c>
      <c r="B14" s="68" t="s">
        <v>165</v>
      </c>
      <c r="C14" s="68" t="s">
        <v>166</v>
      </c>
      <c r="D14" s="68" t="s">
        <v>167</v>
      </c>
      <c r="E14" s="68" t="s">
        <v>168</v>
      </c>
      <c r="F14" s="68" t="s">
        <v>169</v>
      </c>
      <c r="G14" s="68" t="s">
        <v>170</v>
      </c>
      <c r="H14" s="68" t="s">
        <v>171</v>
      </c>
      <c r="I14" s="68" t="s">
        <v>172</v>
      </c>
      <c r="J14" s="71" t="s">
        <v>173</v>
      </c>
      <c r="K14" s="68" t="s">
        <v>174</v>
      </c>
    </row>
    <row r="15" spans="1:11" ht="61.5" customHeight="1">
      <c r="A15" s="68" t="s">
        <v>175</v>
      </c>
      <c r="B15" s="68" t="s">
        <v>176</v>
      </c>
      <c r="C15" s="68" t="s">
        <v>177</v>
      </c>
      <c r="D15" s="68" t="s">
        <v>167</v>
      </c>
      <c r="E15" s="69" t="s">
        <v>178</v>
      </c>
      <c r="F15" s="68" t="s">
        <v>179</v>
      </c>
      <c r="G15" s="68" t="s">
        <v>180</v>
      </c>
      <c r="H15" s="68" t="s">
        <v>160</v>
      </c>
      <c r="I15" s="68" t="s">
        <v>181</v>
      </c>
      <c r="J15" s="71" t="s">
        <v>182</v>
      </c>
      <c r="K15" s="68" t="s">
        <v>183</v>
      </c>
    </row>
    <row r="16" spans="1:11" ht="61.5" customHeight="1">
      <c r="A16" s="68" t="s">
        <v>184</v>
      </c>
      <c r="B16" s="68" t="s">
        <v>185</v>
      </c>
      <c r="C16" s="68" t="s">
        <v>186</v>
      </c>
      <c r="D16" s="68" t="s">
        <v>167</v>
      </c>
      <c r="E16" s="68" t="s">
        <v>187</v>
      </c>
      <c r="F16" s="68" t="s">
        <v>188</v>
      </c>
      <c r="G16" s="68" t="s">
        <v>189</v>
      </c>
      <c r="H16" s="68" t="s">
        <v>190</v>
      </c>
      <c r="I16" s="68" t="s">
        <v>191</v>
      </c>
      <c r="J16" s="71" t="s">
        <v>192</v>
      </c>
      <c r="K16" s="68" t="s">
        <v>193</v>
      </c>
    </row>
    <row r="17" spans="1:11" ht="61.5" customHeight="1">
      <c r="A17" s="68" t="s">
        <v>194</v>
      </c>
      <c r="B17" s="68" t="s">
        <v>195</v>
      </c>
      <c r="C17" s="68" t="s">
        <v>196</v>
      </c>
      <c r="D17" s="68" t="s">
        <v>167</v>
      </c>
      <c r="E17" s="69" t="s">
        <v>197</v>
      </c>
      <c r="F17" s="68" t="s">
        <v>198</v>
      </c>
      <c r="G17" s="68" t="s">
        <v>199</v>
      </c>
      <c r="H17" s="68" t="s">
        <v>160</v>
      </c>
      <c r="I17" s="68" t="s">
        <v>191</v>
      </c>
      <c r="J17" s="71" t="s">
        <v>200</v>
      </c>
      <c r="K17" s="68" t="s">
        <v>201</v>
      </c>
    </row>
    <row r="18" spans="1:11" ht="61.5" customHeight="1">
      <c r="A18" s="68" t="s">
        <v>202</v>
      </c>
      <c r="B18" s="68" t="s">
        <v>203</v>
      </c>
      <c r="C18" s="68" t="s">
        <v>204</v>
      </c>
      <c r="D18" s="68" t="s">
        <v>167</v>
      </c>
      <c r="E18" s="69" t="s">
        <v>205</v>
      </c>
      <c r="F18" s="68" t="s">
        <v>206</v>
      </c>
      <c r="G18" s="68" t="s">
        <v>207</v>
      </c>
      <c r="H18" s="68" t="s">
        <v>110</v>
      </c>
      <c r="I18" s="68" t="s">
        <v>121</v>
      </c>
      <c r="J18" s="71" t="s">
        <v>208</v>
      </c>
      <c r="K18" s="68" t="s">
        <v>209</v>
      </c>
    </row>
    <row r="19" spans="1:11" ht="61.5" customHeight="1">
      <c r="A19" s="68" t="s">
        <v>210</v>
      </c>
      <c r="B19" s="68" t="s">
        <v>211</v>
      </c>
      <c r="C19" s="68" t="s">
        <v>212</v>
      </c>
      <c r="D19" s="68" t="s">
        <v>167</v>
      </c>
      <c r="E19" s="69" t="s">
        <v>213</v>
      </c>
      <c r="F19" s="68" t="s">
        <v>214</v>
      </c>
      <c r="G19" s="68" t="s">
        <v>215</v>
      </c>
      <c r="H19" s="68" t="s">
        <v>101</v>
      </c>
      <c r="I19" s="68" t="s">
        <v>111</v>
      </c>
      <c r="J19" s="71" t="s">
        <v>216</v>
      </c>
      <c r="K19" s="68" t="s">
        <v>217</v>
      </c>
    </row>
  </sheetData>
  <hyperlinks>
    <hyperlink ref="E5" r:id="rId1"/>
    <hyperlink ref="E6" r:id="rId2"/>
    <hyperlink ref="E7" r:id="rId3"/>
    <hyperlink ref="E8" r:id="rId4" display="https://www.5paisa.com/blog/rbi-mpc-meeting-schedule"/>
    <hyperlink ref="E9" r:id="rId5"/>
    <hyperlink ref="E11" r:id="rId6"/>
    <hyperlink ref="E12" r:id="rId7"/>
    <hyperlink ref="E13" r:id="rId8"/>
    <hyperlink ref="E15" r:id="rId9"/>
    <hyperlink ref="E17" r:id="rId10"/>
    <hyperlink ref="E18" r:id="rId11"/>
    <hyperlink ref="E19" r:id="rId12"/>
    <hyperlink ref="E10" r:id="rId13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showGridLines="0" topLeftCell="D1" workbookViewId="0">
      <selection activeCell="D1" sqref="D1"/>
    </sheetView>
  </sheetViews>
  <sheetFormatPr defaultColWidth="8.6640625" defaultRowHeight="13.8"/>
  <cols>
    <col min="1" max="1" width="12" style="2" customWidth="1"/>
    <col min="2" max="2" width="16" style="2" customWidth="1"/>
    <col min="3" max="7" width="40" style="2" customWidth="1"/>
    <col min="8" max="8" width="30" style="2" customWidth="1"/>
    <col min="9" max="16384" width="8.6640625" style="2"/>
  </cols>
  <sheetData>
    <row r="1" spans="1:8" ht="17.399999999999999">
      <c r="A1" s="1" t="s">
        <v>218</v>
      </c>
    </row>
    <row r="2" spans="1:8">
      <c r="A2" s="46" t="s">
        <v>940</v>
      </c>
    </row>
    <row r="4" spans="1:8">
      <c r="A4" s="4" t="s">
        <v>65</v>
      </c>
      <c r="B4" s="4" t="s">
        <v>219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224</v>
      </c>
      <c r="H4" s="4" t="s">
        <v>225</v>
      </c>
    </row>
    <row r="5" spans="1:8" ht="63.75" customHeight="1">
      <c r="A5" s="68" t="s">
        <v>226</v>
      </c>
      <c r="B5" s="68" t="s">
        <v>227</v>
      </c>
      <c r="C5" s="68" t="s">
        <v>228</v>
      </c>
      <c r="D5" s="68" t="s">
        <v>229</v>
      </c>
      <c r="E5" s="68" t="s">
        <v>230</v>
      </c>
      <c r="F5" s="68" t="s">
        <v>231</v>
      </c>
      <c r="G5" s="68" t="s">
        <v>232</v>
      </c>
      <c r="H5" s="68" t="s">
        <v>233</v>
      </c>
    </row>
    <row r="6" spans="1:8" ht="63.75" customHeight="1">
      <c r="A6" s="68" t="s">
        <v>226</v>
      </c>
      <c r="B6" s="68" t="s">
        <v>227</v>
      </c>
      <c r="C6" s="68" t="s">
        <v>234</v>
      </c>
      <c r="D6" s="68" t="s">
        <v>235</v>
      </c>
      <c r="E6" s="68" t="s">
        <v>236</v>
      </c>
      <c r="F6" s="68" t="s">
        <v>237</v>
      </c>
      <c r="G6" s="68" t="s">
        <v>238</v>
      </c>
      <c r="H6" s="68" t="s">
        <v>239</v>
      </c>
    </row>
    <row r="7" spans="1:8" ht="63.75" customHeight="1">
      <c r="A7" s="68" t="s">
        <v>226</v>
      </c>
      <c r="B7" s="68" t="s">
        <v>227</v>
      </c>
      <c r="C7" s="68" t="s">
        <v>240</v>
      </c>
      <c r="D7" s="68" t="s">
        <v>241</v>
      </c>
      <c r="E7" s="68" t="s">
        <v>242</v>
      </c>
      <c r="F7" s="68" t="s">
        <v>243</v>
      </c>
      <c r="G7" s="68" t="s">
        <v>244</v>
      </c>
      <c r="H7" s="68" t="s">
        <v>245</v>
      </c>
    </row>
    <row r="8" spans="1:8" ht="63.75" customHeight="1">
      <c r="A8" s="68" t="s">
        <v>226</v>
      </c>
      <c r="B8" s="68" t="s">
        <v>227</v>
      </c>
      <c r="C8" s="68" t="s">
        <v>246</v>
      </c>
      <c r="D8" s="68" t="s">
        <v>247</v>
      </c>
      <c r="E8" s="68" t="s">
        <v>248</v>
      </c>
      <c r="F8" s="68" t="s">
        <v>249</v>
      </c>
      <c r="G8" s="68" t="s">
        <v>250</v>
      </c>
      <c r="H8" s="68" t="s">
        <v>251</v>
      </c>
    </row>
    <row r="11" spans="1:8">
      <c r="A11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9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1" sqref="A1:XFD1048576"/>
    </sheetView>
  </sheetViews>
  <sheetFormatPr defaultColWidth="8.6640625" defaultRowHeight="13.8"/>
  <cols>
    <col min="1" max="1" width="7" style="2" customWidth="1"/>
    <col min="2" max="2" width="40" style="2" customWidth="1"/>
    <col min="3" max="3" width="13" style="2" customWidth="1"/>
    <col min="4" max="4" width="16" style="2" customWidth="1"/>
    <col min="5" max="5" width="12" style="2" customWidth="1"/>
    <col min="6" max="6" width="10" style="2" customWidth="1"/>
    <col min="7" max="7" width="58" style="2" customWidth="1"/>
    <col min="8" max="8" width="40" style="2" customWidth="1"/>
    <col min="9" max="9" width="20" style="2" customWidth="1"/>
    <col min="10" max="16384" width="8.6640625" style="2"/>
  </cols>
  <sheetData>
    <row r="1" spans="1:9" ht="17.399999999999999">
      <c r="A1" s="1" t="s">
        <v>252</v>
      </c>
    </row>
    <row r="2" spans="1:9" s="20" customFormat="1">
      <c r="A2" s="19" t="s">
        <v>941</v>
      </c>
    </row>
    <row r="4" spans="1:9">
      <c r="A4" s="4" t="s">
        <v>253</v>
      </c>
      <c r="B4" s="4" t="s">
        <v>254</v>
      </c>
      <c r="C4" s="4" t="s">
        <v>255</v>
      </c>
      <c r="D4" s="4" t="s">
        <v>69</v>
      </c>
      <c r="E4" s="4" t="s">
        <v>256</v>
      </c>
      <c r="F4" s="4" t="s">
        <v>62</v>
      </c>
      <c r="G4" s="4" t="s">
        <v>257</v>
      </c>
      <c r="H4" s="4" t="s">
        <v>258</v>
      </c>
      <c r="I4" s="4" t="s">
        <v>259</v>
      </c>
    </row>
    <row r="5" spans="1:9">
      <c r="A5" s="55" t="s">
        <v>260</v>
      </c>
      <c r="B5" s="56"/>
      <c r="C5" s="56"/>
      <c r="D5" s="56"/>
      <c r="E5" s="56"/>
      <c r="F5" s="56"/>
      <c r="G5" s="56"/>
      <c r="H5" s="56"/>
      <c r="I5" s="56"/>
    </row>
    <row r="6" spans="1:9" ht="26.4">
      <c r="A6" s="5" t="s">
        <v>261</v>
      </c>
      <c r="B6" s="57" t="s">
        <v>262</v>
      </c>
      <c r="C6" s="58">
        <v>30</v>
      </c>
      <c r="D6" s="5" t="s">
        <v>263</v>
      </c>
      <c r="E6" s="5" t="s">
        <v>264</v>
      </c>
      <c r="F6" s="5" t="s">
        <v>184</v>
      </c>
      <c r="G6" s="57" t="s">
        <v>265</v>
      </c>
      <c r="H6" s="57" t="s">
        <v>266</v>
      </c>
      <c r="I6" s="5" t="s">
        <v>186</v>
      </c>
    </row>
    <row r="7" spans="1:9" ht="26.4">
      <c r="A7" s="5" t="s">
        <v>267</v>
      </c>
      <c r="B7" s="57" t="s">
        <v>268</v>
      </c>
      <c r="C7" s="58">
        <v>330</v>
      </c>
      <c r="D7" s="5" t="s">
        <v>269</v>
      </c>
      <c r="E7" s="5" t="s">
        <v>270</v>
      </c>
      <c r="F7" s="5" t="s">
        <v>184</v>
      </c>
      <c r="G7" s="57" t="s">
        <v>271</v>
      </c>
      <c r="H7" s="57" t="s">
        <v>272</v>
      </c>
      <c r="I7" s="5" t="s">
        <v>186</v>
      </c>
    </row>
    <row r="8" spans="1:9" ht="39.6">
      <c r="A8" s="5" t="s">
        <v>273</v>
      </c>
      <c r="B8" s="57" t="s">
        <v>274</v>
      </c>
      <c r="C8" s="59">
        <v>160</v>
      </c>
      <c r="D8" s="5" t="s">
        <v>275</v>
      </c>
      <c r="E8" s="5" t="s">
        <v>276</v>
      </c>
      <c r="F8" s="5" t="s">
        <v>194</v>
      </c>
      <c r="G8" s="57" t="s">
        <v>277</v>
      </c>
      <c r="H8" s="57" t="s">
        <v>278</v>
      </c>
      <c r="I8" s="5" t="s">
        <v>186</v>
      </c>
    </row>
    <row r="9" spans="1:9" ht="26.4">
      <c r="A9" s="5" t="s">
        <v>279</v>
      </c>
      <c r="B9" s="57" t="s">
        <v>280</v>
      </c>
      <c r="C9" s="60">
        <v>0.05</v>
      </c>
      <c r="D9" s="5" t="s">
        <v>281</v>
      </c>
      <c r="E9" s="5" t="s">
        <v>282</v>
      </c>
      <c r="F9" s="5" t="s">
        <v>124</v>
      </c>
      <c r="G9" s="57" t="s">
        <v>283</v>
      </c>
      <c r="H9" s="57" t="s">
        <v>284</v>
      </c>
      <c r="I9" s="5" t="s">
        <v>285</v>
      </c>
    </row>
    <row r="10" spans="1:9">
      <c r="A10" s="55" t="s">
        <v>286</v>
      </c>
      <c r="B10" s="56"/>
      <c r="C10" s="56"/>
      <c r="D10" s="56"/>
      <c r="E10" s="56"/>
      <c r="F10" s="56"/>
      <c r="G10" s="56"/>
      <c r="H10" s="56"/>
      <c r="I10" s="56"/>
    </row>
    <row r="11" spans="1:9" ht="26.4">
      <c r="A11" s="5" t="s">
        <v>287</v>
      </c>
      <c r="B11" s="57" t="s">
        <v>288</v>
      </c>
      <c r="C11" s="61">
        <v>0.32</v>
      </c>
      <c r="D11" s="5" t="s">
        <v>171</v>
      </c>
      <c r="E11" s="5" t="s">
        <v>270</v>
      </c>
      <c r="F11" s="5" t="s">
        <v>164</v>
      </c>
      <c r="G11" s="57" t="s">
        <v>289</v>
      </c>
      <c r="H11" s="57" t="s">
        <v>290</v>
      </c>
      <c r="I11" s="5" t="s">
        <v>186</v>
      </c>
    </row>
    <row r="12" spans="1:9">
      <c r="A12" s="5" t="s">
        <v>291</v>
      </c>
      <c r="B12" s="57" t="s">
        <v>292</v>
      </c>
      <c r="C12" s="61">
        <v>0.04</v>
      </c>
      <c r="D12" s="5" t="s">
        <v>171</v>
      </c>
      <c r="E12" s="5" t="s">
        <v>270</v>
      </c>
      <c r="F12" s="5" t="s">
        <v>164</v>
      </c>
      <c r="G12" s="57" t="s">
        <v>293</v>
      </c>
      <c r="H12" s="57" t="s">
        <v>294</v>
      </c>
      <c r="I12" s="5" t="s">
        <v>186</v>
      </c>
    </row>
    <row r="13" spans="1:9">
      <c r="A13" s="55" t="s">
        <v>295</v>
      </c>
      <c r="B13" s="56"/>
      <c r="C13" s="56"/>
      <c r="D13" s="56"/>
      <c r="E13" s="56"/>
      <c r="F13" s="56"/>
      <c r="G13" s="56"/>
      <c r="H13" s="56"/>
      <c r="I13" s="56"/>
    </row>
    <row r="14" spans="1:9">
      <c r="A14" s="5" t="s">
        <v>296</v>
      </c>
      <c r="B14" s="57" t="s">
        <v>297</v>
      </c>
      <c r="C14" s="58">
        <v>1</v>
      </c>
      <c r="D14" s="5" t="s">
        <v>298</v>
      </c>
      <c r="E14" s="5" t="s">
        <v>270</v>
      </c>
      <c r="F14" s="5" t="s">
        <v>73</v>
      </c>
      <c r="G14" s="57" t="s">
        <v>299</v>
      </c>
      <c r="H14" s="57" t="s">
        <v>300</v>
      </c>
      <c r="I14" s="5" t="s">
        <v>186</v>
      </c>
    </row>
    <row r="15" spans="1:9" ht="26.4">
      <c r="A15" s="5" t="s">
        <v>301</v>
      </c>
      <c r="B15" s="57" t="s">
        <v>302</v>
      </c>
      <c r="C15" s="59">
        <v>22000</v>
      </c>
      <c r="D15" s="5" t="s">
        <v>303</v>
      </c>
      <c r="E15" s="5" t="s">
        <v>304</v>
      </c>
      <c r="F15" s="5" t="s">
        <v>73</v>
      </c>
      <c r="G15" s="57" t="s">
        <v>305</v>
      </c>
      <c r="H15" s="57" t="s">
        <v>306</v>
      </c>
      <c r="I15" s="5" t="s">
        <v>307</v>
      </c>
    </row>
    <row r="16" spans="1:9">
      <c r="A16" s="5" t="s">
        <v>308</v>
      </c>
      <c r="B16" s="57" t="s">
        <v>309</v>
      </c>
      <c r="C16" s="58">
        <v>2</v>
      </c>
      <c r="D16" s="5" t="s">
        <v>298</v>
      </c>
      <c r="E16" s="5" t="s">
        <v>270</v>
      </c>
      <c r="F16" s="5" t="s">
        <v>73</v>
      </c>
      <c r="G16" s="57" t="s">
        <v>310</v>
      </c>
      <c r="H16" s="57"/>
      <c r="I16" s="5" t="s">
        <v>186</v>
      </c>
    </row>
    <row r="17" spans="1:9">
      <c r="A17" s="5" t="s">
        <v>311</v>
      </c>
      <c r="B17" s="57" t="s">
        <v>312</v>
      </c>
      <c r="C17" s="59">
        <v>15000</v>
      </c>
      <c r="D17" s="5" t="s">
        <v>303</v>
      </c>
      <c r="E17" s="5" t="s">
        <v>304</v>
      </c>
      <c r="F17" s="5" t="s">
        <v>73</v>
      </c>
      <c r="G17" s="57" t="s">
        <v>313</v>
      </c>
      <c r="H17" s="57"/>
      <c r="I17" s="5" t="s">
        <v>307</v>
      </c>
    </row>
    <row r="18" spans="1:9">
      <c r="A18" s="5" t="s">
        <v>314</v>
      </c>
      <c r="B18" s="57" t="s">
        <v>315</v>
      </c>
      <c r="C18" s="58">
        <v>1</v>
      </c>
      <c r="D18" s="5" t="s">
        <v>298</v>
      </c>
      <c r="E18" s="5" t="s">
        <v>270</v>
      </c>
      <c r="F18" s="5" t="s">
        <v>73</v>
      </c>
      <c r="G18" s="57" t="s">
        <v>316</v>
      </c>
      <c r="H18" s="57"/>
      <c r="I18" s="5" t="s">
        <v>186</v>
      </c>
    </row>
    <row r="19" spans="1:9">
      <c r="A19" s="5" t="s">
        <v>317</v>
      </c>
      <c r="B19" s="57" t="s">
        <v>318</v>
      </c>
      <c r="C19" s="59">
        <v>13500</v>
      </c>
      <c r="D19" s="5" t="s">
        <v>303</v>
      </c>
      <c r="E19" s="5" t="s">
        <v>304</v>
      </c>
      <c r="F19" s="5" t="s">
        <v>73</v>
      </c>
      <c r="G19" s="57" t="s">
        <v>319</v>
      </c>
      <c r="H19" s="57"/>
      <c r="I19" s="5" t="s">
        <v>320</v>
      </c>
    </row>
    <row r="20" spans="1:9">
      <c r="A20" s="5" t="s">
        <v>321</v>
      </c>
      <c r="B20" s="57" t="s">
        <v>322</v>
      </c>
      <c r="C20" s="58">
        <v>1</v>
      </c>
      <c r="D20" s="5" t="s">
        <v>298</v>
      </c>
      <c r="E20" s="5" t="s">
        <v>270</v>
      </c>
      <c r="F20" s="5" t="s">
        <v>73</v>
      </c>
      <c r="G20" s="57" t="s">
        <v>323</v>
      </c>
      <c r="H20" s="57"/>
      <c r="I20" s="5" t="s">
        <v>186</v>
      </c>
    </row>
    <row r="21" spans="1:9">
      <c r="A21" s="5" t="s">
        <v>324</v>
      </c>
      <c r="B21" s="57" t="s">
        <v>325</v>
      </c>
      <c r="C21" s="59">
        <v>25000</v>
      </c>
      <c r="D21" s="5" t="s">
        <v>303</v>
      </c>
      <c r="E21" s="5" t="s">
        <v>304</v>
      </c>
      <c r="F21" s="5" t="s">
        <v>73</v>
      </c>
      <c r="G21" s="57" t="s">
        <v>326</v>
      </c>
      <c r="H21" s="57"/>
      <c r="I21" s="5" t="s">
        <v>186</v>
      </c>
    </row>
    <row r="22" spans="1:9">
      <c r="A22" s="5" t="s">
        <v>327</v>
      </c>
      <c r="B22" s="57" t="s">
        <v>328</v>
      </c>
      <c r="C22" s="62">
        <f>C14*C15+C16*C17+C18*C19+C20*C21</f>
        <v>90500</v>
      </c>
      <c r="D22" s="5" t="s">
        <v>303</v>
      </c>
      <c r="E22" s="5" t="s">
        <v>304</v>
      </c>
      <c r="F22" s="5" t="s">
        <v>101</v>
      </c>
      <c r="G22" s="57" t="s">
        <v>329</v>
      </c>
      <c r="H22" s="57"/>
      <c r="I22" s="5" t="s">
        <v>330</v>
      </c>
    </row>
    <row r="23" spans="1:9" ht="26.4">
      <c r="A23" s="5" t="s">
        <v>331</v>
      </c>
      <c r="B23" s="57" t="s">
        <v>332</v>
      </c>
      <c r="C23" s="61">
        <v>0.06</v>
      </c>
      <c r="D23" s="5" t="s">
        <v>281</v>
      </c>
      <c r="E23" s="5" t="s">
        <v>282</v>
      </c>
      <c r="F23" s="5" t="s">
        <v>124</v>
      </c>
      <c r="G23" s="57" t="s">
        <v>333</v>
      </c>
      <c r="H23" s="57"/>
      <c r="I23" s="5" t="s">
        <v>186</v>
      </c>
    </row>
    <row r="24" spans="1:9">
      <c r="A24" s="5" t="s">
        <v>334</v>
      </c>
      <c r="B24" s="57" t="s">
        <v>335</v>
      </c>
      <c r="C24" s="61">
        <v>0.08</v>
      </c>
      <c r="D24" s="5" t="s">
        <v>336</v>
      </c>
      <c r="E24" s="5" t="s">
        <v>270</v>
      </c>
      <c r="F24" s="5" t="s">
        <v>73</v>
      </c>
      <c r="G24" s="57" t="s">
        <v>337</v>
      </c>
      <c r="H24" s="57"/>
      <c r="I24" s="5" t="s">
        <v>186</v>
      </c>
    </row>
    <row r="25" spans="1:9">
      <c r="A25" s="55" t="s">
        <v>338</v>
      </c>
      <c r="B25" s="56"/>
      <c r="C25" s="56"/>
      <c r="D25" s="56"/>
      <c r="E25" s="56"/>
      <c r="F25" s="56"/>
      <c r="G25" s="56"/>
      <c r="H25" s="56"/>
      <c r="I25" s="56"/>
    </row>
    <row r="26" spans="1:9">
      <c r="A26" s="5" t="s">
        <v>339</v>
      </c>
      <c r="B26" s="57" t="s">
        <v>340</v>
      </c>
      <c r="C26" s="58">
        <v>750</v>
      </c>
      <c r="D26" s="5" t="s">
        <v>341</v>
      </c>
      <c r="E26" s="5" t="s">
        <v>270</v>
      </c>
      <c r="F26" s="5" t="s">
        <v>184</v>
      </c>
      <c r="G26" s="57" t="s">
        <v>342</v>
      </c>
      <c r="H26" s="57"/>
      <c r="I26" s="5" t="s">
        <v>186</v>
      </c>
    </row>
    <row r="27" spans="1:9" ht="26.4">
      <c r="A27" s="5" t="s">
        <v>343</v>
      </c>
      <c r="B27" s="57" t="s">
        <v>344</v>
      </c>
      <c r="C27" s="59">
        <v>90</v>
      </c>
      <c r="D27" s="5" t="s">
        <v>345</v>
      </c>
      <c r="E27" s="5" t="s">
        <v>304</v>
      </c>
      <c r="F27" s="5" t="s">
        <v>184</v>
      </c>
      <c r="G27" s="57" t="s">
        <v>346</v>
      </c>
      <c r="H27" s="57" t="s">
        <v>347</v>
      </c>
      <c r="I27" s="5" t="s">
        <v>186</v>
      </c>
    </row>
    <row r="28" spans="1:9">
      <c r="A28" s="5" t="s">
        <v>348</v>
      </c>
      <c r="B28" s="57" t="s">
        <v>349</v>
      </c>
      <c r="C28" s="61">
        <v>0.05</v>
      </c>
      <c r="D28" s="5" t="s">
        <v>281</v>
      </c>
      <c r="E28" s="5" t="s">
        <v>282</v>
      </c>
      <c r="F28" s="5" t="s">
        <v>184</v>
      </c>
      <c r="G28" s="57" t="s">
        <v>350</v>
      </c>
      <c r="H28" s="57"/>
      <c r="I28" s="5" t="s">
        <v>186</v>
      </c>
    </row>
    <row r="29" spans="1:9">
      <c r="A29" s="5" t="s">
        <v>351</v>
      </c>
      <c r="B29" s="57" t="s">
        <v>352</v>
      </c>
      <c r="C29" s="59">
        <v>2000</v>
      </c>
      <c r="D29" s="5" t="s">
        <v>353</v>
      </c>
      <c r="E29" s="5" t="s">
        <v>304</v>
      </c>
      <c r="F29" s="5" t="s">
        <v>84</v>
      </c>
      <c r="G29" s="57" t="s">
        <v>354</v>
      </c>
      <c r="H29" s="57"/>
      <c r="I29" s="5" t="s">
        <v>186</v>
      </c>
    </row>
    <row r="30" spans="1:9" ht="26.4">
      <c r="A30" s="5" t="s">
        <v>355</v>
      </c>
      <c r="B30" s="57" t="s">
        <v>356</v>
      </c>
      <c r="C30" s="61">
        <v>0.6</v>
      </c>
      <c r="D30" s="5" t="s">
        <v>110</v>
      </c>
      <c r="E30" s="5" t="s">
        <v>270</v>
      </c>
      <c r="F30" s="5" t="s">
        <v>84</v>
      </c>
      <c r="G30" s="57" t="s">
        <v>357</v>
      </c>
      <c r="H30" s="57"/>
      <c r="I30" s="5" t="s">
        <v>186</v>
      </c>
    </row>
    <row r="31" spans="1:9" ht="39.6">
      <c r="A31" s="5" t="s">
        <v>358</v>
      </c>
      <c r="B31" s="57" t="s">
        <v>359</v>
      </c>
      <c r="C31" s="63">
        <v>7.2</v>
      </c>
      <c r="D31" s="5" t="s">
        <v>91</v>
      </c>
      <c r="E31" s="5" t="s">
        <v>276</v>
      </c>
      <c r="F31" s="5" t="s">
        <v>84</v>
      </c>
      <c r="G31" s="57" t="s">
        <v>360</v>
      </c>
      <c r="H31" s="57" t="s">
        <v>361</v>
      </c>
      <c r="I31" s="5" t="s">
        <v>362</v>
      </c>
    </row>
    <row r="32" spans="1:9">
      <c r="A32" s="5" t="s">
        <v>363</v>
      </c>
      <c r="B32" s="57" t="s">
        <v>364</v>
      </c>
      <c r="C32" s="59">
        <v>6000</v>
      </c>
      <c r="D32" s="5" t="s">
        <v>303</v>
      </c>
      <c r="E32" s="5" t="s">
        <v>304</v>
      </c>
      <c r="F32" s="5" t="s">
        <v>184</v>
      </c>
      <c r="G32" s="57" t="s">
        <v>365</v>
      </c>
      <c r="H32" s="57"/>
      <c r="I32" s="5" t="s">
        <v>186</v>
      </c>
    </row>
    <row r="33" spans="1:9">
      <c r="A33" s="5" t="s">
        <v>366</v>
      </c>
      <c r="B33" s="57" t="s">
        <v>367</v>
      </c>
      <c r="C33" s="59">
        <v>8000</v>
      </c>
      <c r="D33" s="5" t="s">
        <v>303</v>
      </c>
      <c r="E33" s="5" t="s">
        <v>304</v>
      </c>
      <c r="F33" s="5" t="s">
        <v>194</v>
      </c>
      <c r="G33" s="57" t="s">
        <v>368</v>
      </c>
      <c r="H33" s="57"/>
      <c r="I33" s="5" t="s">
        <v>186</v>
      </c>
    </row>
    <row r="34" spans="1:9">
      <c r="A34" s="5" t="s">
        <v>369</v>
      </c>
      <c r="B34" s="57" t="s">
        <v>370</v>
      </c>
      <c r="C34" s="59">
        <v>25000</v>
      </c>
      <c r="D34" s="5" t="s">
        <v>371</v>
      </c>
      <c r="E34" s="5" t="s">
        <v>270</v>
      </c>
      <c r="F34" s="5" t="s">
        <v>184</v>
      </c>
      <c r="G34" s="57" t="s">
        <v>372</v>
      </c>
      <c r="H34" s="57"/>
      <c r="I34" s="5" t="s">
        <v>186</v>
      </c>
    </row>
    <row r="35" spans="1:9" ht="26.4">
      <c r="A35" s="5" t="s">
        <v>373</v>
      </c>
      <c r="B35" s="57" t="s">
        <v>374</v>
      </c>
      <c r="C35" s="59">
        <v>6000</v>
      </c>
      <c r="D35" s="5" t="s">
        <v>303</v>
      </c>
      <c r="E35" s="5" t="s">
        <v>304</v>
      </c>
      <c r="F35" s="5" t="s">
        <v>184</v>
      </c>
      <c r="G35" s="57" t="s">
        <v>375</v>
      </c>
      <c r="H35" s="57"/>
      <c r="I35" s="5" t="s">
        <v>186</v>
      </c>
    </row>
    <row r="36" spans="1:9">
      <c r="A36" s="5" t="s">
        <v>376</v>
      </c>
      <c r="B36" s="57" t="s">
        <v>377</v>
      </c>
      <c r="C36" s="59">
        <v>5000</v>
      </c>
      <c r="D36" s="5" t="s">
        <v>371</v>
      </c>
      <c r="E36" s="5" t="s">
        <v>270</v>
      </c>
      <c r="F36" s="5" t="s">
        <v>154</v>
      </c>
      <c r="G36" s="57" t="s">
        <v>378</v>
      </c>
      <c r="H36" s="57"/>
      <c r="I36" s="5" t="s">
        <v>186</v>
      </c>
    </row>
    <row r="37" spans="1:9" ht="26.4">
      <c r="A37" s="5" t="s">
        <v>379</v>
      </c>
      <c r="B37" s="57" t="s">
        <v>380</v>
      </c>
      <c r="C37" s="61">
        <v>0.03</v>
      </c>
      <c r="D37" s="5" t="s">
        <v>381</v>
      </c>
      <c r="E37" s="5" t="s">
        <v>270</v>
      </c>
      <c r="F37" s="5" t="s">
        <v>175</v>
      </c>
      <c r="G37" s="57" t="s">
        <v>382</v>
      </c>
      <c r="H37" s="57"/>
      <c r="I37" s="5" t="s">
        <v>186</v>
      </c>
    </row>
    <row r="38" spans="1:9" ht="26.4">
      <c r="A38" s="5" t="s">
        <v>383</v>
      </c>
      <c r="B38" s="57" t="s">
        <v>384</v>
      </c>
      <c r="C38" s="60">
        <v>0.05</v>
      </c>
      <c r="D38" s="5" t="s">
        <v>281</v>
      </c>
      <c r="E38" s="5" t="s">
        <v>282</v>
      </c>
      <c r="F38" s="5" t="s">
        <v>124</v>
      </c>
      <c r="G38" s="57" t="s">
        <v>385</v>
      </c>
      <c r="H38" s="57"/>
      <c r="I38" s="5" t="s">
        <v>285</v>
      </c>
    </row>
    <row r="39" spans="1:9">
      <c r="A39" s="55" t="s">
        <v>386</v>
      </c>
      <c r="B39" s="56"/>
      <c r="C39" s="56"/>
      <c r="D39" s="56"/>
      <c r="E39" s="56"/>
      <c r="F39" s="56"/>
      <c r="G39" s="56"/>
      <c r="H39" s="56"/>
      <c r="I39" s="56"/>
    </row>
    <row r="40" spans="1:9" ht="26.4">
      <c r="A40" s="5" t="s">
        <v>387</v>
      </c>
      <c r="B40" s="57" t="s">
        <v>388</v>
      </c>
      <c r="C40" s="64">
        <v>0.25169999999999998</v>
      </c>
      <c r="D40" s="5" t="s">
        <v>110</v>
      </c>
      <c r="E40" s="5" t="s">
        <v>270</v>
      </c>
      <c r="F40" s="5" t="s">
        <v>144</v>
      </c>
      <c r="G40" s="57" t="s">
        <v>389</v>
      </c>
      <c r="H40" s="57" t="s">
        <v>390</v>
      </c>
      <c r="I40" s="5" t="s">
        <v>391</v>
      </c>
    </row>
    <row r="41" spans="1:9">
      <c r="A41" s="55" t="s">
        <v>392</v>
      </c>
      <c r="B41" s="56"/>
      <c r="C41" s="56"/>
      <c r="D41" s="56"/>
      <c r="E41" s="56"/>
      <c r="F41" s="56"/>
      <c r="G41" s="56"/>
      <c r="H41" s="56"/>
      <c r="I41" s="56"/>
    </row>
    <row r="42" spans="1:9" ht="26.4">
      <c r="A42" s="5" t="s">
        <v>393</v>
      </c>
      <c r="B42" s="57" t="s">
        <v>394</v>
      </c>
      <c r="C42" s="58">
        <v>2</v>
      </c>
      <c r="D42" s="5" t="s">
        <v>395</v>
      </c>
      <c r="E42" s="5" t="s">
        <v>270</v>
      </c>
      <c r="F42" s="5" t="s">
        <v>194</v>
      </c>
      <c r="G42" s="57" t="s">
        <v>396</v>
      </c>
      <c r="H42" s="57"/>
      <c r="I42" s="5" t="s">
        <v>186</v>
      </c>
    </row>
    <row r="43" spans="1:9">
      <c r="A43" s="5" t="s">
        <v>397</v>
      </c>
      <c r="B43" s="57" t="s">
        <v>398</v>
      </c>
      <c r="C43" s="58">
        <v>7</v>
      </c>
      <c r="D43" s="5" t="s">
        <v>395</v>
      </c>
      <c r="E43" s="5" t="s">
        <v>270</v>
      </c>
      <c r="F43" s="5" t="s">
        <v>164</v>
      </c>
      <c r="G43" s="57" t="s">
        <v>399</v>
      </c>
      <c r="H43" s="57"/>
      <c r="I43" s="5" t="s">
        <v>186</v>
      </c>
    </row>
    <row r="44" spans="1:9">
      <c r="A44" s="5" t="s">
        <v>400</v>
      </c>
      <c r="B44" s="57" t="s">
        <v>401</v>
      </c>
      <c r="C44" s="58">
        <v>10</v>
      </c>
      <c r="D44" s="5" t="s">
        <v>395</v>
      </c>
      <c r="E44" s="5" t="s">
        <v>270</v>
      </c>
      <c r="F44" s="5" t="s">
        <v>164</v>
      </c>
      <c r="G44" s="57" t="s">
        <v>402</v>
      </c>
      <c r="H44" s="57"/>
      <c r="I44" s="5" t="s">
        <v>186</v>
      </c>
    </row>
    <row r="45" spans="1:9" ht="26.4">
      <c r="A45" s="5" t="s">
        <v>403</v>
      </c>
      <c r="B45" s="57" t="s">
        <v>404</v>
      </c>
      <c r="C45" s="58">
        <v>2</v>
      </c>
      <c r="D45" s="5" t="s">
        <v>405</v>
      </c>
      <c r="E45" s="5" t="s">
        <v>406</v>
      </c>
      <c r="F45" s="5" t="s">
        <v>164</v>
      </c>
      <c r="G45" s="57" t="s">
        <v>407</v>
      </c>
      <c r="H45" s="57" t="s">
        <v>408</v>
      </c>
      <c r="I45" s="5" t="s">
        <v>186</v>
      </c>
    </row>
    <row r="46" spans="1:9">
      <c r="A46" s="55" t="s">
        <v>409</v>
      </c>
      <c r="B46" s="56"/>
      <c r="C46" s="56"/>
      <c r="D46" s="56"/>
      <c r="E46" s="56"/>
      <c r="F46" s="56"/>
      <c r="G46" s="56"/>
      <c r="H46" s="56"/>
      <c r="I46" s="56"/>
    </row>
    <row r="47" spans="1:9" ht="26.4">
      <c r="A47" s="5" t="s">
        <v>410</v>
      </c>
      <c r="B47" s="57" t="s">
        <v>411</v>
      </c>
      <c r="C47" s="59">
        <v>800000</v>
      </c>
      <c r="D47" s="5" t="s">
        <v>160</v>
      </c>
      <c r="E47" s="5" t="s">
        <v>406</v>
      </c>
      <c r="F47" s="5" t="s">
        <v>175</v>
      </c>
      <c r="G47" s="57" t="s">
        <v>412</v>
      </c>
      <c r="H47" s="57" t="s">
        <v>413</v>
      </c>
      <c r="I47" s="5" t="s">
        <v>186</v>
      </c>
    </row>
    <row r="48" spans="1:9">
      <c r="A48" s="5" t="s">
        <v>414</v>
      </c>
      <c r="B48" s="57" t="s">
        <v>415</v>
      </c>
      <c r="C48" s="59">
        <v>350000</v>
      </c>
      <c r="D48" s="5" t="s">
        <v>160</v>
      </c>
      <c r="E48" s="5" t="s">
        <v>406</v>
      </c>
      <c r="F48" s="5" t="s">
        <v>175</v>
      </c>
      <c r="G48" s="57" t="s">
        <v>416</v>
      </c>
      <c r="H48" s="57"/>
      <c r="I48" s="5" t="s">
        <v>186</v>
      </c>
    </row>
    <row r="49" spans="1:9">
      <c r="A49" s="5" t="s">
        <v>417</v>
      </c>
      <c r="B49" s="57" t="s">
        <v>418</v>
      </c>
      <c r="C49" s="59">
        <v>600000</v>
      </c>
      <c r="D49" s="5" t="s">
        <v>160</v>
      </c>
      <c r="E49" s="5" t="s">
        <v>406</v>
      </c>
      <c r="F49" s="5" t="s">
        <v>175</v>
      </c>
      <c r="G49" s="57" t="s">
        <v>419</v>
      </c>
      <c r="H49" s="57"/>
      <c r="I49" s="5" t="s">
        <v>186</v>
      </c>
    </row>
    <row r="50" spans="1:9">
      <c r="A50" s="5" t="s">
        <v>420</v>
      </c>
      <c r="B50" s="57" t="s">
        <v>421</v>
      </c>
      <c r="C50" s="59">
        <v>80000</v>
      </c>
      <c r="D50" s="5" t="s">
        <v>160</v>
      </c>
      <c r="E50" s="5" t="s">
        <v>406</v>
      </c>
      <c r="F50" s="5" t="s">
        <v>175</v>
      </c>
      <c r="G50" s="57" t="s">
        <v>422</v>
      </c>
      <c r="H50" s="57"/>
      <c r="I50" s="5" t="s">
        <v>186</v>
      </c>
    </row>
    <row r="51" spans="1:9">
      <c r="A51" s="5" t="s">
        <v>423</v>
      </c>
      <c r="B51" s="57" t="s">
        <v>424</v>
      </c>
      <c r="C51" s="59">
        <v>30000</v>
      </c>
      <c r="D51" s="5" t="s">
        <v>160</v>
      </c>
      <c r="E51" s="5" t="s">
        <v>406</v>
      </c>
      <c r="F51" s="5" t="s">
        <v>154</v>
      </c>
      <c r="G51" s="57" t="s">
        <v>425</v>
      </c>
      <c r="H51" s="57"/>
      <c r="I51" s="5" t="s">
        <v>186</v>
      </c>
    </row>
    <row r="52" spans="1:9">
      <c r="A52" s="5" t="s">
        <v>426</v>
      </c>
      <c r="B52" s="57" t="s">
        <v>427</v>
      </c>
      <c r="C52" s="59">
        <v>120000</v>
      </c>
      <c r="D52" s="5" t="s">
        <v>160</v>
      </c>
      <c r="E52" s="5" t="s">
        <v>406</v>
      </c>
      <c r="F52" s="5" t="s">
        <v>194</v>
      </c>
      <c r="G52" s="57" t="s">
        <v>428</v>
      </c>
      <c r="H52" s="57"/>
      <c r="I52" s="5" t="s">
        <v>186</v>
      </c>
    </row>
    <row r="53" spans="1:9">
      <c r="A53" s="5" t="s">
        <v>429</v>
      </c>
      <c r="B53" s="57" t="s">
        <v>430</v>
      </c>
      <c r="C53" s="61">
        <v>0.05</v>
      </c>
      <c r="D53" s="5" t="s">
        <v>110</v>
      </c>
      <c r="E53" s="5" t="s">
        <v>406</v>
      </c>
      <c r="F53" s="5" t="s">
        <v>175</v>
      </c>
      <c r="G53" s="57" t="s">
        <v>431</v>
      </c>
      <c r="H53" s="57"/>
      <c r="I53" s="5" t="s">
        <v>186</v>
      </c>
    </row>
    <row r="54" spans="1:9">
      <c r="A54" s="5" t="s">
        <v>432</v>
      </c>
      <c r="B54" s="57" t="s">
        <v>433</v>
      </c>
      <c r="C54" s="58">
        <v>3</v>
      </c>
      <c r="D54" s="5" t="s">
        <v>405</v>
      </c>
      <c r="E54" s="5" t="s">
        <v>406</v>
      </c>
      <c r="F54" s="5" t="s">
        <v>184</v>
      </c>
      <c r="G54" s="57" t="s">
        <v>434</v>
      </c>
      <c r="H54" s="57"/>
      <c r="I54" s="5" t="s">
        <v>186</v>
      </c>
    </row>
    <row r="55" spans="1:9">
      <c r="A55" s="55" t="s">
        <v>435</v>
      </c>
      <c r="B55" s="56"/>
      <c r="C55" s="56"/>
      <c r="D55" s="56"/>
      <c r="E55" s="56"/>
      <c r="F55" s="56"/>
      <c r="G55" s="56"/>
      <c r="H55" s="56"/>
      <c r="I55" s="56"/>
    </row>
    <row r="56" spans="1:9">
      <c r="A56" s="5" t="s">
        <v>436</v>
      </c>
      <c r="B56" s="57" t="s">
        <v>437</v>
      </c>
      <c r="C56" s="58">
        <v>8</v>
      </c>
      <c r="D56" s="5" t="s">
        <v>438</v>
      </c>
      <c r="E56" s="5" t="s">
        <v>101</v>
      </c>
      <c r="F56" s="5" t="s">
        <v>175</v>
      </c>
      <c r="G56" s="57" t="s">
        <v>439</v>
      </c>
      <c r="H56" s="57"/>
      <c r="I56" s="5" t="s">
        <v>186</v>
      </c>
    </row>
    <row r="57" spans="1:9">
      <c r="A57" s="5" t="s">
        <v>440</v>
      </c>
      <c r="B57" s="57" t="s">
        <v>441</v>
      </c>
      <c r="C57" s="58">
        <v>8</v>
      </c>
      <c r="D57" s="5" t="s">
        <v>438</v>
      </c>
      <c r="E57" s="5" t="s">
        <v>101</v>
      </c>
      <c r="F57" s="5" t="s">
        <v>175</v>
      </c>
      <c r="G57" s="57"/>
      <c r="H57" s="57"/>
      <c r="I57" s="5" t="s">
        <v>186</v>
      </c>
    </row>
    <row r="58" spans="1:9">
      <c r="A58" s="5" t="s">
        <v>442</v>
      </c>
      <c r="B58" s="57" t="s">
        <v>418</v>
      </c>
      <c r="C58" s="58">
        <v>5</v>
      </c>
      <c r="D58" s="5" t="s">
        <v>438</v>
      </c>
      <c r="E58" s="5" t="s">
        <v>101</v>
      </c>
      <c r="F58" s="5" t="s">
        <v>184</v>
      </c>
      <c r="G58" s="57" t="s">
        <v>443</v>
      </c>
      <c r="H58" s="57"/>
      <c r="I58" s="5" t="s">
        <v>186</v>
      </c>
    </row>
    <row r="59" spans="1:9">
      <c r="A59" s="5" t="s">
        <v>444</v>
      </c>
      <c r="B59" s="57" t="s">
        <v>445</v>
      </c>
      <c r="C59" s="58">
        <v>4</v>
      </c>
      <c r="D59" s="5" t="s">
        <v>438</v>
      </c>
      <c r="E59" s="5" t="s">
        <v>101</v>
      </c>
      <c r="F59" s="5" t="s">
        <v>175</v>
      </c>
      <c r="G59" s="57" t="s">
        <v>446</v>
      </c>
      <c r="H59" s="57"/>
      <c r="I59" s="5" t="s">
        <v>186</v>
      </c>
    </row>
    <row r="60" spans="1:9" ht="26.4">
      <c r="A60" s="5" t="s">
        <v>447</v>
      </c>
      <c r="B60" s="57" t="s">
        <v>448</v>
      </c>
      <c r="C60" s="58">
        <v>5</v>
      </c>
      <c r="D60" s="5" t="s">
        <v>438</v>
      </c>
      <c r="E60" s="5" t="s">
        <v>101</v>
      </c>
      <c r="F60" s="5" t="s">
        <v>175</v>
      </c>
      <c r="G60" s="57" t="s">
        <v>449</v>
      </c>
      <c r="H60" s="57"/>
      <c r="I60" s="5" t="s">
        <v>186</v>
      </c>
    </row>
    <row r="61" spans="1:9">
      <c r="A61" s="55" t="s">
        <v>450</v>
      </c>
      <c r="B61" s="56"/>
      <c r="C61" s="56"/>
      <c r="D61" s="56"/>
      <c r="E61" s="56"/>
      <c r="F61" s="56"/>
      <c r="G61" s="56"/>
      <c r="H61" s="56"/>
      <c r="I61" s="56"/>
    </row>
    <row r="62" spans="1:9">
      <c r="A62" s="5" t="s">
        <v>451</v>
      </c>
      <c r="B62" s="57" t="s">
        <v>452</v>
      </c>
      <c r="C62" s="61">
        <v>0.5</v>
      </c>
      <c r="D62" s="5" t="s">
        <v>110</v>
      </c>
      <c r="E62" s="5" t="s">
        <v>406</v>
      </c>
      <c r="F62" s="5" t="s">
        <v>210</v>
      </c>
      <c r="G62" s="57" t="s">
        <v>453</v>
      </c>
      <c r="H62" s="57" t="s">
        <v>454</v>
      </c>
      <c r="I62" s="5" t="s">
        <v>186</v>
      </c>
    </row>
    <row r="63" spans="1:9" ht="26.4">
      <c r="A63" s="5" t="s">
        <v>455</v>
      </c>
      <c r="B63" s="57" t="s">
        <v>456</v>
      </c>
      <c r="C63" s="61">
        <v>0.1</v>
      </c>
      <c r="D63" s="5" t="s">
        <v>281</v>
      </c>
      <c r="E63" s="5" t="s">
        <v>270</v>
      </c>
      <c r="F63" s="5" t="s">
        <v>104</v>
      </c>
      <c r="G63" s="57" t="s">
        <v>457</v>
      </c>
      <c r="H63" s="57"/>
      <c r="I63" s="5" t="s">
        <v>458</v>
      </c>
    </row>
    <row r="64" spans="1:9">
      <c r="A64" s="5" t="s">
        <v>459</v>
      </c>
      <c r="B64" s="57" t="s">
        <v>460</v>
      </c>
      <c r="C64" s="58">
        <v>5</v>
      </c>
      <c r="D64" s="5" t="s">
        <v>438</v>
      </c>
      <c r="E64" s="5" t="s">
        <v>101</v>
      </c>
      <c r="F64" s="5" t="s">
        <v>210</v>
      </c>
      <c r="G64" s="57" t="s">
        <v>461</v>
      </c>
      <c r="H64" s="57"/>
      <c r="I64" s="5" t="s">
        <v>186</v>
      </c>
    </row>
    <row r="65" spans="1:9">
      <c r="A65" s="55" t="s">
        <v>462</v>
      </c>
      <c r="B65" s="56"/>
      <c r="C65" s="56"/>
      <c r="D65" s="56"/>
      <c r="E65" s="56"/>
      <c r="F65" s="56"/>
      <c r="G65" s="56"/>
      <c r="H65" s="56"/>
      <c r="I65" s="56"/>
    </row>
    <row r="66" spans="1:9" ht="26.4">
      <c r="A66" s="5" t="s">
        <v>463</v>
      </c>
      <c r="B66" s="57" t="s">
        <v>464</v>
      </c>
      <c r="C66" s="61">
        <v>0.25</v>
      </c>
      <c r="D66" s="5" t="s">
        <v>110</v>
      </c>
      <c r="E66" s="5" t="s">
        <v>465</v>
      </c>
      <c r="F66" s="5" t="s">
        <v>175</v>
      </c>
      <c r="G66" s="57" t="s">
        <v>466</v>
      </c>
      <c r="H66" s="57" t="s">
        <v>361</v>
      </c>
      <c r="I66" s="5" t="s">
        <v>186</v>
      </c>
    </row>
    <row r="67" spans="1:9">
      <c r="A67" s="55" t="s">
        <v>467</v>
      </c>
      <c r="B67" s="56"/>
      <c r="C67" s="56"/>
      <c r="D67" s="56"/>
      <c r="E67" s="56"/>
      <c r="F67" s="56"/>
      <c r="G67" s="56"/>
      <c r="H67" s="56"/>
      <c r="I67" s="56"/>
    </row>
    <row r="68" spans="1:9" ht="26.4">
      <c r="A68" s="5" t="s">
        <v>468</v>
      </c>
      <c r="B68" s="57" t="s">
        <v>469</v>
      </c>
      <c r="C68" s="65">
        <v>7.0999999999999994E-2</v>
      </c>
      <c r="D68" s="5" t="s">
        <v>110</v>
      </c>
      <c r="E68" s="5" t="s">
        <v>470</v>
      </c>
      <c r="F68" s="5" t="s">
        <v>114</v>
      </c>
      <c r="G68" s="57" t="s">
        <v>471</v>
      </c>
      <c r="H68" s="57"/>
      <c r="I68" s="5" t="s">
        <v>472</v>
      </c>
    </row>
    <row r="69" spans="1:9" ht="26.4">
      <c r="A69" s="5" t="s">
        <v>473</v>
      </c>
      <c r="B69" s="57" t="s">
        <v>474</v>
      </c>
      <c r="C69" s="66">
        <v>1</v>
      </c>
      <c r="D69" s="5" t="s">
        <v>475</v>
      </c>
      <c r="E69" s="5" t="s">
        <v>101</v>
      </c>
      <c r="F69" s="5" t="s">
        <v>202</v>
      </c>
      <c r="G69" s="57" t="s">
        <v>476</v>
      </c>
      <c r="H69" s="57"/>
      <c r="I69" s="5" t="s">
        <v>186</v>
      </c>
    </row>
    <row r="70" spans="1:9" ht="26.4">
      <c r="A70" s="5" t="s">
        <v>477</v>
      </c>
      <c r="B70" s="57" t="s">
        <v>478</v>
      </c>
      <c r="C70" s="61">
        <v>7.0000000000000007E-2</v>
      </c>
      <c r="D70" s="5" t="s">
        <v>110</v>
      </c>
      <c r="E70" s="5" t="s">
        <v>101</v>
      </c>
      <c r="F70" s="5" t="s">
        <v>202</v>
      </c>
      <c r="G70" s="57" t="s">
        <v>479</v>
      </c>
      <c r="H70" s="57"/>
      <c r="I70" s="5" t="s">
        <v>186</v>
      </c>
    </row>
    <row r="71" spans="1:9">
      <c r="A71" s="5" t="s">
        <v>480</v>
      </c>
      <c r="B71" s="57" t="s">
        <v>481</v>
      </c>
      <c r="C71" s="61">
        <v>0.05</v>
      </c>
      <c r="D71" s="5" t="s">
        <v>110</v>
      </c>
      <c r="E71" s="5" t="s">
        <v>101</v>
      </c>
      <c r="F71" s="5" t="s">
        <v>202</v>
      </c>
      <c r="G71" s="57" t="s">
        <v>482</v>
      </c>
      <c r="H71" s="57"/>
      <c r="I71" s="5" t="s">
        <v>186</v>
      </c>
    </row>
    <row r="72" spans="1:9">
      <c r="A72" s="5" t="s">
        <v>483</v>
      </c>
      <c r="B72" s="57" t="s">
        <v>484</v>
      </c>
      <c r="C72" s="9">
        <f>C68+C69*C70+C71</f>
        <v>0.191</v>
      </c>
      <c r="D72" s="5" t="s">
        <v>110</v>
      </c>
      <c r="E72" s="5" t="s">
        <v>101</v>
      </c>
      <c r="F72" s="5" t="s">
        <v>101</v>
      </c>
      <c r="G72" s="57" t="s">
        <v>485</v>
      </c>
      <c r="H72" s="57"/>
      <c r="I72" s="5" t="s">
        <v>330</v>
      </c>
    </row>
    <row r="73" spans="1:9">
      <c r="A73" s="5" t="s">
        <v>486</v>
      </c>
      <c r="B73" s="57" t="s">
        <v>487</v>
      </c>
      <c r="C73" s="29">
        <f>C63*(1-C40)</f>
        <v>7.4829999999999994E-2</v>
      </c>
      <c r="D73" s="5" t="s">
        <v>110</v>
      </c>
      <c r="E73" s="5" t="s">
        <v>101</v>
      </c>
      <c r="F73" s="5" t="s">
        <v>101</v>
      </c>
      <c r="G73" s="57" t="s">
        <v>488</v>
      </c>
      <c r="H73" s="57"/>
      <c r="I73" s="5" t="s">
        <v>330</v>
      </c>
    </row>
    <row r="74" spans="1:9">
      <c r="A74" s="5" t="s">
        <v>489</v>
      </c>
      <c r="B74" s="57" t="s">
        <v>490</v>
      </c>
      <c r="C74" s="29">
        <f>(1-C62)*C72+C62*C73</f>
        <v>0.13291500000000001</v>
      </c>
      <c r="D74" s="5" t="s">
        <v>110</v>
      </c>
      <c r="E74" s="5" t="s">
        <v>101</v>
      </c>
      <c r="F74" s="5" t="s">
        <v>101</v>
      </c>
      <c r="G74" s="57" t="s">
        <v>491</v>
      </c>
      <c r="H74" s="57" t="s">
        <v>492</v>
      </c>
      <c r="I74" s="5" t="s">
        <v>330</v>
      </c>
    </row>
    <row r="76" spans="1:9">
      <c r="A76" s="55" t="s">
        <v>493</v>
      </c>
      <c r="B76" s="56"/>
      <c r="C76" s="56"/>
      <c r="D76" s="56"/>
      <c r="E76" s="56"/>
      <c r="F76" s="56"/>
      <c r="G76" s="56"/>
      <c r="H76" s="56"/>
      <c r="I76" s="56"/>
    </row>
    <row r="77" spans="1:9">
      <c r="B77" s="4" t="s">
        <v>494</v>
      </c>
      <c r="C77" s="4" t="s">
        <v>276</v>
      </c>
      <c r="D77" s="4" t="s">
        <v>495</v>
      </c>
      <c r="E77" s="4" t="s">
        <v>496</v>
      </c>
      <c r="F77" s="4" t="s">
        <v>497</v>
      </c>
      <c r="G77" s="4" t="s">
        <v>465</v>
      </c>
    </row>
    <row r="78" spans="1:9">
      <c r="B78" s="5" t="s">
        <v>498</v>
      </c>
      <c r="C78" s="67">
        <v>2.5</v>
      </c>
      <c r="D78" s="67">
        <v>3</v>
      </c>
      <c r="E78" s="67">
        <v>3.5</v>
      </c>
      <c r="F78" s="67">
        <v>3.8</v>
      </c>
      <c r="G78" s="67">
        <v>4</v>
      </c>
    </row>
    <row r="79" spans="1:9" ht="42" customHeight="1">
      <c r="B79" s="97" t="s">
        <v>499</v>
      </c>
      <c r="C79" s="97"/>
      <c r="D79" s="97"/>
      <c r="E79" s="97"/>
      <c r="F79" s="97"/>
      <c r="G79" s="97"/>
      <c r="H79" s="97"/>
      <c r="I79" s="97"/>
    </row>
  </sheetData>
  <mergeCells count="1">
    <mergeCell ref="B79:I7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5" sqref="A1:XFD1048576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500</v>
      </c>
    </row>
    <row r="2" spans="1:8" s="20" customFormat="1">
      <c r="A2" s="19" t="s">
        <v>942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 s="20" customFormat="1">
      <c r="A5" s="21" t="s">
        <v>503</v>
      </c>
      <c r="C5" s="22">
        <v>0</v>
      </c>
      <c r="D5" s="22">
        <v>1</v>
      </c>
      <c r="E5" s="22">
        <v>2</v>
      </c>
      <c r="F5" s="22">
        <v>3</v>
      </c>
      <c r="G5" s="22">
        <v>4</v>
      </c>
      <c r="H5" s="22">
        <v>5</v>
      </c>
    </row>
    <row r="6" spans="1:8">
      <c r="A6" s="5" t="s">
        <v>504</v>
      </c>
      <c r="B6" s="5" t="s">
        <v>263</v>
      </c>
      <c r="D6" s="38">
        <f>'04_Assumptions'!$C$6</f>
        <v>30</v>
      </c>
      <c r="E6" s="38">
        <f>'04_Assumptions'!$C$6</f>
        <v>30</v>
      </c>
      <c r="F6" s="38">
        <f>'04_Assumptions'!$C$6</f>
        <v>30</v>
      </c>
      <c r="G6" s="38">
        <f>'04_Assumptions'!$C$6</f>
        <v>30</v>
      </c>
      <c r="H6" s="38">
        <f>'04_Assumptions'!$C$6</f>
        <v>30</v>
      </c>
    </row>
    <row r="7" spans="1:8">
      <c r="A7" s="5" t="s">
        <v>498</v>
      </c>
      <c r="B7" s="5" t="s">
        <v>505</v>
      </c>
      <c r="D7" s="52">
        <f>'04_Assumptions'!$C$78</f>
        <v>2.5</v>
      </c>
      <c r="E7" s="52">
        <f>'04_Assumptions'!$D$78</f>
        <v>3</v>
      </c>
      <c r="F7" s="52">
        <f>'04_Assumptions'!$E$78</f>
        <v>3.5</v>
      </c>
      <c r="G7" s="52">
        <f>'04_Assumptions'!$F$78</f>
        <v>3.8</v>
      </c>
      <c r="H7" s="52">
        <f>'04_Assumptions'!$G$78</f>
        <v>4</v>
      </c>
    </row>
    <row r="8" spans="1:8">
      <c r="A8" s="5" t="s">
        <v>506</v>
      </c>
      <c r="B8" s="5" t="s">
        <v>395</v>
      </c>
      <c r="D8" s="38">
        <f>'04_Assumptions'!$C$7</f>
        <v>330</v>
      </c>
      <c r="E8" s="38">
        <f>'04_Assumptions'!$C$7</f>
        <v>330</v>
      </c>
      <c r="F8" s="38">
        <f>'04_Assumptions'!$C$7</f>
        <v>330</v>
      </c>
      <c r="G8" s="38">
        <f>'04_Assumptions'!$C$7</f>
        <v>330</v>
      </c>
      <c r="H8" s="38">
        <f>'04_Assumptions'!$C$7</f>
        <v>330</v>
      </c>
    </row>
    <row r="9" spans="1:8">
      <c r="A9" s="5" t="s">
        <v>507</v>
      </c>
      <c r="B9" s="5" t="s">
        <v>508</v>
      </c>
      <c r="D9" s="53">
        <f>D7*D8</f>
        <v>825</v>
      </c>
      <c r="E9" s="53">
        <f>E7*E8</f>
        <v>990</v>
      </c>
      <c r="F9" s="53">
        <f>F7*F8</f>
        <v>1155</v>
      </c>
      <c r="G9" s="53">
        <f>G7*G8</f>
        <v>1254</v>
      </c>
      <c r="H9" s="53">
        <f>H7*H8</f>
        <v>1320</v>
      </c>
    </row>
    <row r="10" spans="1:8">
      <c r="A10" s="5" t="s">
        <v>509</v>
      </c>
      <c r="B10" s="5" t="s">
        <v>275</v>
      </c>
      <c r="D10" s="6">
        <f>'04_Assumptions'!$C$8*(1+'04_Assumptions'!$C$9)^(D$5-1)</f>
        <v>160</v>
      </c>
      <c r="E10" s="6">
        <f>'04_Assumptions'!$C$8*(1+'04_Assumptions'!$C$9)^(E$5-1)</f>
        <v>168</v>
      </c>
      <c r="F10" s="6">
        <f>'04_Assumptions'!$C$8*(1+'04_Assumptions'!$C$9)^(F$5-1)</f>
        <v>176.4</v>
      </c>
      <c r="G10" s="6">
        <f>'04_Assumptions'!$C$8*(1+'04_Assumptions'!$C$9)^(G$5-1)</f>
        <v>185.22000000000003</v>
      </c>
      <c r="H10" s="6">
        <f>'04_Assumptions'!$C$8*(1+'04_Assumptions'!$C$9)^(H$5-1)</f>
        <v>194.48099999999999</v>
      </c>
    </row>
    <row r="11" spans="1:8">
      <c r="A11" s="16" t="s">
        <v>510</v>
      </c>
      <c r="B11" s="5" t="s">
        <v>511</v>
      </c>
      <c r="C11" s="34"/>
      <c r="D11" s="54">
        <f>D6*D9</f>
        <v>24750</v>
      </c>
      <c r="E11" s="54">
        <f>E6*E9</f>
        <v>29700</v>
      </c>
      <c r="F11" s="54">
        <f>F6*F9</f>
        <v>34650</v>
      </c>
      <c r="G11" s="54">
        <f>G6*G9</f>
        <v>37620</v>
      </c>
      <c r="H11" s="54">
        <f>H6*H9</f>
        <v>39600</v>
      </c>
    </row>
    <row r="12" spans="1:8">
      <c r="A12" s="5" t="s">
        <v>512</v>
      </c>
      <c r="B12" s="5" t="s">
        <v>513</v>
      </c>
      <c r="D12" s="53">
        <f>D11/D8</f>
        <v>75</v>
      </c>
      <c r="E12" s="53">
        <f>E11/E8</f>
        <v>90</v>
      </c>
      <c r="F12" s="53">
        <f>F11/F8</f>
        <v>105</v>
      </c>
      <c r="G12" s="53">
        <f>G11/G8</f>
        <v>114</v>
      </c>
      <c r="H12" s="53">
        <f>H11/H8</f>
        <v>120</v>
      </c>
    </row>
    <row r="14" spans="1:8">
      <c r="A14" s="5" t="s">
        <v>514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showGridLines="0" workbookViewId="0">
      <selection activeCell="A8" sqref="A8"/>
    </sheetView>
  </sheetViews>
  <sheetFormatPr defaultColWidth="8.6640625" defaultRowHeight="13.8"/>
  <cols>
    <col min="1" max="1" width="52" style="2" customWidth="1"/>
    <col min="2" max="2" width="18" style="2" customWidth="1"/>
    <col min="3" max="3" width="60" style="2" customWidth="1"/>
    <col min="4" max="4" width="12" style="2" customWidth="1"/>
    <col min="5" max="16384" width="8.6640625" style="2"/>
  </cols>
  <sheetData>
    <row r="1" spans="1:3" ht="17.399999999999999">
      <c r="A1" s="1" t="s">
        <v>515</v>
      </c>
    </row>
    <row r="2" spans="1:3" s="20" customFormat="1">
      <c r="A2" s="19" t="s">
        <v>516</v>
      </c>
    </row>
    <row r="4" spans="1:3">
      <c r="A4" s="4" t="s">
        <v>517</v>
      </c>
      <c r="B4" s="4" t="s">
        <v>160</v>
      </c>
      <c r="C4" s="4" t="s">
        <v>518</v>
      </c>
    </row>
    <row r="5" spans="1:3">
      <c r="A5" s="5" t="s">
        <v>437</v>
      </c>
      <c r="B5" s="6">
        <f>'04_Assumptions'!$C$47</f>
        <v>800000</v>
      </c>
      <c r="C5" s="5" t="s">
        <v>519</v>
      </c>
    </row>
    <row r="6" spans="1:3">
      <c r="A6" s="5" t="s">
        <v>441</v>
      </c>
      <c r="B6" s="6">
        <f>'04_Assumptions'!$C$48</f>
        <v>350000</v>
      </c>
      <c r="C6" s="5" t="s">
        <v>519</v>
      </c>
    </row>
    <row r="7" spans="1:3">
      <c r="A7" s="5" t="s">
        <v>418</v>
      </c>
      <c r="B7" s="6">
        <f>'04_Assumptions'!$C$49</f>
        <v>600000</v>
      </c>
      <c r="C7" s="5" t="s">
        <v>519</v>
      </c>
    </row>
    <row r="8" spans="1:3">
      <c r="A8" s="5" t="s">
        <v>421</v>
      </c>
      <c r="B8" s="6">
        <f>'04_Assumptions'!$C$50</f>
        <v>80000</v>
      </c>
      <c r="C8" s="5" t="s">
        <v>519</v>
      </c>
    </row>
    <row r="9" spans="1:3">
      <c r="A9" s="5" t="s">
        <v>424</v>
      </c>
      <c r="B9" s="6">
        <f>'04_Assumptions'!$C$51</f>
        <v>30000</v>
      </c>
      <c r="C9" s="5" t="s">
        <v>519</v>
      </c>
    </row>
    <row r="10" spans="1:3">
      <c r="A10" s="5" t="s">
        <v>520</v>
      </c>
      <c r="B10" s="6">
        <f>'04_Assumptions'!$C$52</f>
        <v>120000</v>
      </c>
      <c r="C10" s="5" t="s">
        <v>519</v>
      </c>
    </row>
    <row r="11" spans="1:3">
      <c r="A11" s="5" t="s">
        <v>521</v>
      </c>
      <c r="B11" s="6">
        <f>'04_Assumptions'!$C$53*SUM(B5:B10)</f>
        <v>99000</v>
      </c>
      <c r="C11" s="5" t="s">
        <v>522</v>
      </c>
    </row>
    <row r="12" spans="1:3">
      <c r="A12" s="16" t="s">
        <v>523</v>
      </c>
      <c r="B12" s="43">
        <f>SUM(B5:B11)</f>
        <v>2079000</v>
      </c>
    </row>
    <row r="13" spans="1:3">
      <c r="A13" s="5" t="s">
        <v>524</v>
      </c>
      <c r="B13" s="6">
        <f>'04_Assumptions'!$C$54*'04_Assumptions'!$C$26*'04_Assumptions'!$C$27</f>
        <v>202500</v>
      </c>
      <c r="C13" s="5" t="s">
        <v>525</v>
      </c>
    </row>
    <row r="14" spans="1:3">
      <c r="A14" s="5" t="s">
        <v>526</v>
      </c>
      <c r="B14" s="6">
        <f>'04_Assumptions'!$C$45/12*('08_Cost_Model'!D9+'08_Cost_Model'!D21)</f>
        <v>648030</v>
      </c>
      <c r="C14" s="5" t="s">
        <v>527</v>
      </c>
    </row>
    <row r="15" spans="1:3">
      <c r="A15" s="16" t="s">
        <v>528</v>
      </c>
      <c r="B15" s="27">
        <f>B12+B13+B14</f>
        <v>2929530</v>
      </c>
    </row>
    <row r="18" spans="1:3">
      <c r="A18" s="4" t="s">
        <v>529</v>
      </c>
      <c r="B18" s="4" t="s">
        <v>160</v>
      </c>
      <c r="C18" s="4" t="s">
        <v>518</v>
      </c>
    </row>
    <row r="19" spans="1:3">
      <c r="A19" s="5" t="s">
        <v>530</v>
      </c>
      <c r="B19" s="6">
        <f>'04_Assumptions'!$C$62*B15</f>
        <v>1464765</v>
      </c>
      <c r="C19" s="5" t="s">
        <v>531</v>
      </c>
    </row>
    <row r="20" spans="1:3">
      <c r="A20" s="5" t="s">
        <v>532</v>
      </c>
      <c r="B20" s="12">
        <f>B15-B19</f>
        <v>1464765</v>
      </c>
      <c r="C20" s="5" t="s">
        <v>533</v>
      </c>
    </row>
    <row r="21" spans="1:3">
      <c r="A21" s="16" t="s">
        <v>534</v>
      </c>
      <c r="B21" s="43">
        <f>B19+B20</f>
        <v>2929530</v>
      </c>
    </row>
    <row r="22" spans="1:3">
      <c r="A22" s="5" t="s">
        <v>535</v>
      </c>
      <c r="B22" s="26">
        <f>ROUND(B21-B15,2)</f>
        <v>0</v>
      </c>
    </row>
    <row r="24" spans="1:3" s="20" customFormat="1">
      <c r="A24" s="51" t="s">
        <v>536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5" sqref="A1:XFD1048576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9" ht="17.399999999999999">
      <c r="A1" s="1" t="s">
        <v>537</v>
      </c>
    </row>
    <row r="2" spans="1:9">
      <c r="A2" s="46" t="s">
        <v>538</v>
      </c>
    </row>
    <row r="4" spans="1:9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9">
      <c r="A5" s="47" t="s">
        <v>503</v>
      </c>
      <c r="C5" s="33">
        <v>0</v>
      </c>
      <c r="D5" s="33">
        <v>1</v>
      </c>
      <c r="E5" s="33">
        <v>2</v>
      </c>
      <c r="F5" s="33">
        <v>3</v>
      </c>
      <c r="G5" s="33">
        <v>4</v>
      </c>
      <c r="H5" s="33">
        <v>5</v>
      </c>
    </row>
    <row r="6" spans="1:9">
      <c r="A6" s="5" t="s">
        <v>539</v>
      </c>
      <c r="B6" s="5" t="s">
        <v>263</v>
      </c>
      <c r="D6" s="38">
        <f>'05_Operating_Drivers'!D6</f>
        <v>30</v>
      </c>
      <c r="E6" s="38">
        <f>'05_Operating_Drivers'!E6</f>
        <v>30</v>
      </c>
      <c r="F6" s="38">
        <f>'05_Operating_Drivers'!F6</f>
        <v>30</v>
      </c>
      <c r="G6" s="38">
        <f>'05_Operating_Drivers'!G6</f>
        <v>30</v>
      </c>
      <c r="H6" s="38">
        <f>'05_Operating_Drivers'!H6</f>
        <v>30</v>
      </c>
    </row>
    <row r="7" spans="1:9">
      <c r="A7" s="5" t="s">
        <v>540</v>
      </c>
      <c r="B7" s="5" t="s">
        <v>541</v>
      </c>
      <c r="D7" s="11">
        <f>'05_Operating_Drivers'!D9</f>
        <v>825</v>
      </c>
      <c r="E7" s="11">
        <f>'05_Operating_Drivers'!E9</f>
        <v>990</v>
      </c>
      <c r="F7" s="11">
        <f>'05_Operating_Drivers'!F9</f>
        <v>1155</v>
      </c>
      <c r="G7" s="11">
        <f>'05_Operating_Drivers'!G9</f>
        <v>1254</v>
      </c>
      <c r="H7" s="11">
        <f>'05_Operating_Drivers'!H9</f>
        <v>1320</v>
      </c>
    </row>
    <row r="8" spans="1:9">
      <c r="A8" s="5" t="s">
        <v>542</v>
      </c>
      <c r="B8" s="5" t="s">
        <v>160</v>
      </c>
      <c r="D8" s="6">
        <f>'05_Operating_Drivers'!D10</f>
        <v>160</v>
      </c>
      <c r="E8" s="6">
        <f>'05_Operating_Drivers'!E10</f>
        <v>168</v>
      </c>
      <c r="F8" s="6">
        <f>'05_Operating_Drivers'!F10</f>
        <v>176.4</v>
      </c>
      <c r="G8" s="6">
        <f>'05_Operating_Drivers'!G10</f>
        <v>185.22000000000003</v>
      </c>
      <c r="H8" s="6">
        <f>'05_Operating_Drivers'!H10</f>
        <v>194.48099999999999</v>
      </c>
    </row>
    <row r="9" spans="1:9">
      <c r="A9" s="16" t="s">
        <v>543</v>
      </c>
      <c r="B9" s="5" t="s">
        <v>160</v>
      </c>
      <c r="C9" s="34"/>
      <c r="D9" s="35">
        <f>D6*D7*D8</f>
        <v>3960000</v>
      </c>
      <c r="E9" s="35">
        <f>E6*E7*E8</f>
        <v>4989600</v>
      </c>
      <c r="F9" s="35">
        <f>F6*F7*F8</f>
        <v>6112260</v>
      </c>
      <c r="G9" s="35">
        <f>G6*G7*G8</f>
        <v>6967976.4000000013</v>
      </c>
      <c r="H9" s="35">
        <f>H6*H7*H8</f>
        <v>7701447.5999999996</v>
      </c>
    </row>
    <row r="10" spans="1:9">
      <c r="A10" s="5" t="s">
        <v>544</v>
      </c>
      <c r="B10" s="5" t="s">
        <v>160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46" t="s">
        <v>934</v>
      </c>
    </row>
    <row r="11" spans="1:9">
      <c r="A11" s="16" t="s">
        <v>545</v>
      </c>
      <c r="B11" s="5" t="s">
        <v>160</v>
      </c>
      <c r="C11" s="34"/>
      <c r="D11" s="35">
        <f>D9+D10</f>
        <v>3960000</v>
      </c>
      <c r="E11" s="35">
        <f>E9+E10</f>
        <v>4989600</v>
      </c>
      <c r="F11" s="35">
        <f>F9+F10</f>
        <v>6112260</v>
      </c>
      <c r="G11" s="35">
        <f>G9+G10</f>
        <v>6967976.4000000013</v>
      </c>
      <c r="H11" s="35">
        <f>H9+H10</f>
        <v>7701447.5999999996</v>
      </c>
    </row>
    <row r="12" spans="1:9">
      <c r="A12" s="5" t="s">
        <v>546</v>
      </c>
      <c r="B12" s="5" t="s">
        <v>110</v>
      </c>
      <c r="E12" s="9">
        <f>E11/D11-1</f>
        <v>0.26</v>
      </c>
      <c r="F12" s="9">
        <f>F11/E11-1</f>
        <v>0.22500000000000009</v>
      </c>
      <c r="G12" s="9">
        <f>G11/F11-1</f>
        <v>0.14000000000000012</v>
      </c>
      <c r="H12" s="9">
        <f>H11/G11-1</f>
        <v>0.1052631578947365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9" sqref="A1:XFD1048576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9" ht="17.399999999999999">
      <c r="A1" s="1" t="s">
        <v>547</v>
      </c>
    </row>
    <row r="2" spans="1:9">
      <c r="A2" s="46" t="s">
        <v>548</v>
      </c>
    </row>
    <row r="4" spans="1:9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9">
      <c r="A5" s="47" t="s">
        <v>503</v>
      </c>
      <c r="C5" s="33">
        <v>0</v>
      </c>
      <c r="D5" s="33">
        <v>1</v>
      </c>
      <c r="E5" s="33">
        <v>2</v>
      </c>
      <c r="F5" s="33">
        <v>3</v>
      </c>
      <c r="G5" s="33">
        <v>4</v>
      </c>
      <c r="H5" s="33">
        <v>5</v>
      </c>
    </row>
    <row r="6" spans="1:9">
      <c r="A6" s="5" t="s">
        <v>549</v>
      </c>
      <c r="B6" s="5" t="s">
        <v>550</v>
      </c>
      <c r="D6" s="11">
        <f>'05_Operating_Drivers'!D11</f>
        <v>24750</v>
      </c>
      <c r="E6" s="11">
        <f>'05_Operating_Drivers'!E11</f>
        <v>29700</v>
      </c>
      <c r="F6" s="11">
        <f>'05_Operating_Drivers'!F11</f>
        <v>34650</v>
      </c>
      <c r="G6" s="11">
        <f>'05_Operating_Drivers'!G11</f>
        <v>37620</v>
      </c>
      <c r="H6" s="11">
        <f>'05_Operating_Drivers'!H11</f>
        <v>39600</v>
      </c>
    </row>
    <row r="7" spans="1:9">
      <c r="A7" s="5" t="s">
        <v>551</v>
      </c>
      <c r="B7" s="5" t="s">
        <v>552</v>
      </c>
      <c r="D7" s="6">
        <f>'07_Revenue_Model'!D11*'04_Assumptions'!$C$11</f>
        <v>1267200</v>
      </c>
      <c r="E7" s="6">
        <f>'07_Revenue_Model'!E11*'04_Assumptions'!$C$11</f>
        <v>1596672</v>
      </c>
      <c r="F7" s="6">
        <f>'07_Revenue_Model'!F11*'04_Assumptions'!$C$11</f>
        <v>1955923.2</v>
      </c>
      <c r="G7" s="6">
        <f>'07_Revenue_Model'!G11*'04_Assumptions'!$C$11</f>
        <v>2229752.4480000003</v>
      </c>
      <c r="H7" s="6">
        <f>'07_Revenue_Model'!H11*'04_Assumptions'!$C$11</f>
        <v>2464463.2319999998</v>
      </c>
    </row>
    <row r="8" spans="1:9">
      <c r="A8" s="5" t="s">
        <v>292</v>
      </c>
      <c r="B8" s="5" t="s">
        <v>552</v>
      </c>
      <c r="D8" s="6">
        <f>'07_Revenue_Model'!D11*'04_Assumptions'!$C$12</f>
        <v>158400</v>
      </c>
      <c r="E8" s="6">
        <f>'07_Revenue_Model'!E11*'04_Assumptions'!$C$12</f>
        <v>199584</v>
      </c>
      <c r="F8" s="6">
        <f>'07_Revenue_Model'!F11*'04_Assumptions'!$C$12</f>
        <v>244490.4</v>
      </c>
      <c r="G8" s="6">
        <f>'07_Revenue_Model'!G11*'04_Assumptions'!$C$12</f>
        <v>278719.05600000004</v>
      </c>
      <c r="H8" s="6">
        <f>'07_Revenue_Model'!H11*'04_Assumptions'!$C$12</f>
        <v>308057.90399999998</v>
      </c>
    </row>
    <row r="9" spans="1:9">
      <c r="A9" s="16" t="s">
        <v>553</v>
      </c>
      <c r="B9" s="5" t="s">
        <v>552</v>
      </c>
      <c r="C9" s="34"/>
      <c r="D9" s="35">
        <f>D7+D8</f>
        <v>1425600</v>
      </c>
      <c r="E9" s="35">
        <f>E7+E8</f>
        <v>1796256</v>
      </c>
      <c r="F9" s="35">
        <f>F7+F8</f>
        <v>2200413.6</v>
      </c>
      <c r="G9" s="35">
        <f>G7+G8</f>
        <v>2508471.5040000002</v>
      </c>
      <c r="H9" s="35">
        <f>H7+H8</f>
        <v>2772521.1359999999</v>
      </c>
    </row>
    <row r="10" spans="1:9">
      <c r="A10" s="5" t="s">
        <v>554</v>
      </c>
      <c r="B10" s="5" t="s">
        <v>275</v>
      </c>
      <c r="D10" s="8">
        <f>D9/D6</f>
        <v>57.6</v>
      </c>
      <c r="E10" s="8">
        <f>E9/E6</f>
        <v>60.48</v>
      </c>
      <c r="F10" s="8">
        <f>F9/F6</f>
        <v>63.504000000000005</v>
      </c>
      <c r="G10" s="8">
        <f>G9/G6</f>
        <v>66.679200000000009</v>
      </c>
      <c r="H10" s="8">
        <f>H9/H6</f>
        <v>70.013159999999999</v>
      </c>
    </row>
    <row r="12" spans="1:9">
      <c r="A12" s="5" t="s">
        <v>555</v>
      </c>
      <c r="B12" s="5" t="s">
        <v>556</v>
      </c>
      <c r="D12" s="6">
        <f>'04_Assumptions'!$C$22*12*(1+'04_Assumptions'!$C$23)^(D$5-1)*(1+'04_Assumptions'!$C$24)</f>
        <v>1172880</v>
      </c>
      <c r="E12" s="6">
        <f>'04_Assumptions'!$C$22*12*(1+'04_Assumptions'!$C$23)^(E$5-1)*(1+'04_Assumptions'!$C$24)</f>
        <v>1243252.8</v>
      </c>
      <c r="F12" s="6">
        <f>'04_Assumptions'!$C$22*12*(1+'04_Assumptions'!$C$23)^(F$5-1)*(1+'04_Assumptions'!$C$24)</f>
        <v>1317847.9680000001</v>
      </c>
      <c r="G12" s="6">
        <f>'04_Assumptions'!$C$22*12*(1+'04_Assumptions'!$C$23)^(G$5-1)*(1+'04_Assumptions'!$C$24)</f>
        <v>1396918.8460800005</v>
      </c>
      <c r="H12" s="6">
        <f>'04_Assumptions'!$C$22*12*(1+'04_Assumptions'!$C$23)^(H$5-1)*(1+'04_Assumptions'!$C$24)</f>
        <v>1480733.9768448006</v>
      </c>
      <c r="I12" s="48" t="s">
        <v>557</v>
      </c>
    </row>
    <row r="13" spans="1:9">
      <c r="A13" s="5" t="s">
        <v>558</v>
      </c>
      <c r="B13" s="5" t="s">
        <v>556</v>
      </c>
      <c r="D13" s="6">
        <f>'04_Assumptions'!$C$26*'04_Assumptions'!$C$27*12*(1+'04_Assumptions'!$C$28)^(D$5-1)</f>
        <v>810000</v>
      </c>
      <c r="E13" s="6">
        <f>'04_Assumptions'!$C$26*'04_Assumptions'!$C$27*12*(1+'04_Assumptions'!$C$28)^(E$5-1)</f>
        <v>850500</v>
      </c>
      <c r="F13" s="6">
        <f>'04_Assumptions'!$C$26*'04_Assumptions'!$C$27*12*(1+'04_Assumptions'!$C$28)^(F$5-1)</f>
        <v>893025</v>
      </c>
      <c r="G13" s="6">
        <f>'04_Assumptions'!$C$26*'04_Assumptions'!$C$27*12*(1+'04_Assumptions'!$C$28)^(G$5-1)</f>
        <v>937676.25000000012</v>
      </c>
      <c r="H13" s="6">
        <f>'04_Assumptions'!$C$26*'04_Assumptions'!$C$27*12*(1+'04_Assumptions'!$C$28)^(H$5-1)</f>
        <v>984560.0625</v>
      </c>
      <c r="I13" s="48" t="s">
        <v>559</v>
      </c>
    </row>
    <row r="14" spans="1:9">
      <c r="A14" s="5" t="s">
        <v>560</v>
      </c>
      <c r="B14" s="5" t="s">
        <v>561</v>
      </c>
      <c r="D14" s="6">
        <f>'04_Assumptions'!$C$29*('04_Assumptions'!$C$30+(1-'04_Assumptions'!$C$30)*D6/$D6)*'04_Assumptions'!$C$31*12*(1+'04_Assumptions'!$C$38)^(D$5-1)</f>
        <v>172800</v>
      </c>
      <c r="E14" s="6">
        <f>'04_Assumptions'!$C$29*('04_Assumptions'!$C$30+(1-'04_Assumptions'!$C$30)*E6/$D6)*'04_Assumptions'!$C$31*12*(1+'04_Assumptions'!$C$38)^(E$5-1)</f>
        <v>195955.20000000001</v>
      </c>
      <c r="F14" s="6">
        <f>'04_Assumptions'!$C$29*('04_Assumptions'!$C$30+(1-'04_Assumptions'!$C$30)*F6/$D6)*'04_Assumptions'!$C$31*12*(1+'04_Assumptions'!$C$38)^(F$5-1)</f>
        <v>220993.92000000007</v>
      </c>
      <c r="G14" s="6">
        <f>'04_Assumptions'!$C$29*('04_Assumptions'!$C$30+(1-'04_Assumptions'!$C$30)*G6/$D6)*'04_Assumptions'!$C$31*12*(1+'04_Assumptions'!$C$38)^(G$5-1)</f>
        <v>241645.42080000005</v>
      </c>
      <c r="H14" s="6">
        <f>'04_Assumptions'!$C$29*('04_Assumptions'!$C$30+(1-'04_Assumptions'!$C$30)*H6/$D6)*'04_Assumptions'!$C$31*12*(1+'04_Assumptions'!$C$38)^(H$5-1)</f>
        <v>260448.9552</v>
      </c>
      <c r="I14" s="48" t="s">
        <v>562</v>
      </c>
    </row>
    <row r="15" spans="1:9">
      <c r="A15" s="5" t="s">
        <v>563</v>
      </c>
      <c r="B15" s="5" t="s">
        <v>556</v>
      </c>
      <c r="D15" s="6">
        <f>'04_Assumptions'!$C$32*12*(1+'04_Assumptions'!$C$38)^(D$5-1)</f>
        <v>72000</v>
      </c>
      <c r="E15" s="6">
        <f>'04_Assumptions'!$C$32*12*(1+'04_Assumptions'!$C$38)^(E$5-1)</f>
        <v>75600</v>
      </c>
      <c r="F15" s="6">
        <f>'04_Assumptions'!$C$32*12*(1+'04_Assumptions'!$C$38)^(F$5-1)</f>
        <v>79380</v>
      </c>
      <c r="G15" s="6">
        <f>'04_Assumptions'!$C$32*12*(1+'04_Assumptions'!$C$38)^(G$5-1)</f>
        <v>83349.000000000015</v>
      </c>
      <c r="H15" s="6">
        <f>'04_Assumptions'!$C$32*12*(1+'04_Assumptions'!$C$38)^(H$5-1)</f>
        <v>87516.45</v>
      </c>
    </row>
    <row r="16" spans="1:9">
      <c r="A16" s="5" t="s">
        <v>564</v>
      </c>
      <c r="B16" s="5" t="s">
        <v>556</v>
      </c>
      <c r="D16" s="6">
        <f>'04_Assumptions'!$C$33*12*(1+'04_Assumptions'!$C$38)^(D$5-1)</f>
        <v>96000</v>
      </c>
      <c r="E16" s="6">
        <f>'04_Assumptions'!$C$33*12*(1+'04_Assumptions'!$C$38)^(E$5-1)</f>
        <v>100800</v>
      </c>
      <c r="F16" s="6">
        <f>'04_Assumptions'!$C$33*12*(1+'04_Assumptions'!$C$38)^(F$5-1)</f>
        <v>105840</v>
      </c>
      <c r="G16" s="6">
        <f>'04_Assumptions'!$C$33*12*(1+'04_Assumptions'!$C$38)^(G$5-1)</f>
        <v>111132.00000000001</v>
      </c>
      <c r="H16" s="6">
        <f>'04_Assumptions'!$C$33*12*(1+'04_Assumptions'!$C$38)^(H$5-1)</f>
        <v>116688.6</v>
      </c>
    </row>
    <row r="17" spans="1:9">
      <c r="A17" s="5" t="s">
        <v>370</v>
      </c>
      <c r="B17" s="5" t="s">
        <v>556</v>
      </c>
      <c r="D17" s="6">
        <f>'04_Assumptions'!$C$34*(1+'04_Assumptions'!$C$38)^(D$5-1)</f>
        <v>25000</v>
      </c>
      <c r="E17" s="6">
        <f>'04_Assumptions'!$C$34*(1+'04_Assumptions'!$C$38)^(E$5-1)</f>
        <v>26250</v>
      </c>
      <c r="F17" s="6">
        <f>'04_Assumptions'!$C$34*(1+'04_Assumptions'!$C$38)^(F$5-1)</f>
        <v>27562.5</v>
      </c>
      <c r="G17" s="6">
        <f>'04_Assumptions'!$C$34*(1+'04_Assumptions'!$C$38)^(G$5-1)</f>
        <v>28940.625000000004</v>
      </c>
      <c r="H17" s="6">
        <f>'04_Assumptions'!$C$34*(1+'04_Assumptions'!$C$38)^(H$5-1)</f>
        <v>30387.65625</v>
      </c>
    </row>
    <row r="18" spans="1:9">
      <c r="A18" s="5" t="s">
        <v>565</v>
      </c>
      <c r="B18" s="5" t="s">
        <v>556</v>
      </c>
      <c r="D18" s="6">
        <f>'04_Assumptions'!$C$37*('04_Assumptions'!$C$47+'04_Assumptions'!$C$48+'04_Assumptions'!$C$50)*(1+'04_Assumptions'!$C$38)^(D$5-1)</f>
        <v>36900</v>
      </c>
      <c r="E18" s="6">
        <f>'04_Assumptions'!$C$37*('04_Assumptions'!$C$47+'04_Assumptions'!$C$48+'04_Assumptions'!$C$50)*(1+'04_Assumptions'!$C$38)^(E$5-1)</f>
        <v>38745</v>
      </c>
      <c r="F18" s="6">
        <f>'04_Assumptions'!$C$37*('04_Assumptions'!$C$47+'04_Assumptions'!$C$48+'04_Assumptions'!$C$50)*(1+'04_Assumptions'!$C$38)^(F$5-1)</f>
        <v>40682.25</v>
      </c>
      <c r="G18" s="6">
        <f>'04_Assumptions'!$C$37*('04_Assumptions'!$C$47+'04_Assumptions'!$C$48+'04_Assumptions'!$C$50)*(1+'04_Assumptions'!$C$38)^(G$5-1)</f>
        <v>42716.362500000003</v>
      </c>
      <c r="H18" s="6">
        <f>'04_Assumptions'!$C$37*('04_Assumptions'!$C$47+'04_Assumptions'!$C$48+'04_Assumptions'!$C$50)*(1+'04_Assumptions'!$C$38)^(H$5-1)</f>
        <v>44852.180625000001</v>
      </c>
      <c r="I18" s="49"/>
    </row>
    <row r="19" spans="1:9">
      <c r="A19" s="5" t="s">
        <v>566</v>
      </c>
      <c r="B19" s="5" t="s">
        <v>556</v>
      </c>
      <c r="D19" s="6">
        <f>'04_Assumptions'!$C$36*(1+'04_Assumptions'!$C$38)^(D$5-1)</f>
        <v>5000</v>
      </c>
      <c r="E19" s="6">
        <f>'04_Assumptions'!$C$36*(1+'04_Assumptions'!$C$38)^(E$5-1)</f>
        <v>5250</v>
      </c>
      <c r="F19" s="6">
        <f>'04_Assumptions'!$C$36*(1+'04_Assumptions'!$C$38)^(F$5-1)</f>
        <v>5512.5</v>
      </c>
      <c r="G19" s="6">
        <f>'04_Assumptions'!$C$36*(1+'04_Assumptions'!$C$38)^(G$5-1)</f>
        <v>5788.1250000000009</v>
      </c>
      <c r="H19" s="6">
        <f>'04_Assumptions'!$C$36*(1+'04_Assumptions'!$C$38)^(H$5-1)</f>
        <v>6077.53125</v>
      </c>
    </row>
    <row r="20" spans="1:9">
      <c r="A20" s="5" t="s">
        <v>567</v>
      </c>
      <c r="B20" s="5" t="s">
        <v>556</v>
      </c>
      <c r="D20" s="6">
        <f>'04_Assumptions'!$C$35*12*(1+'04_Assumptions'!$C$38)^(D$5-1)</f>
        <v>72000</v>
      </c>
      <c r="E20" s="6">
        <f>'04_Assumptions'!$C$35*12*(1+'04_Assumptions'!$C$38)^(E$5-1)</f>
        <v>75600</v>
      </c>
      <c r="F20" s="6">
        <f>'04_Assumptions'!$C$35*12*(1+'04_Assumptions'!$C$38)^(F$5-1)</f>
        <v>79380</v>
      </c>
      <c r="G20" s="6">
        <f>'04_Assumptions'!$C$35*12*(1+'04_Assumptions'!$C$38)^(G$5-1)</f>
        <v>83349.000000000015</v>
      </c>
      <c r="H20" s="6">
        <f>'04_Assumptions'!$C$35*12*(1+'04_Assumptions'!$C$38)^(H$5-1)</f>
        <v>87516.45</v>
      </c>
    </row>
    <row r="21" spans="1:9">
      <c r="A21" s="16" t="s">
        <v>568</v>
      </c>
      <c r="B21" s="5" t="s">
        <v>556</v>
      </c>
      <c r="C21" s="34"/>
      <c r="D21" s="35">
        <f>SUM(D12:D20)</f>
        <v>2462580</v>
      </c>
      <c r="E21" s="35">
        <f>SUM(E12:E20)</f>
        <v>2611953</v>
      </c>
      <c r="F21" s="35">
        <f>SUM(F12:F20)</f>
        <v>2770224.1380000003</v>
      </c>
      <c r="G21" s="35">
        <f>SUM(G12:G20)</f>
        <v>2931515.6293800003</v>
      </c>
      <c r="H21" s="35">
        <f>SUM(H12:H20)</f>
        <v>3098781.8626698013</v>
      </c>
    </row>
    <row r="22" spans="1:9">
      <c r="A22" s="16" t="s">
        <v>569</v>
      </c>
      <c r="C22" s="34"/>
      <c r="D22" s="35">
        <f>D9+D21</f>
        <v>3888180</v>
      </c>
      <c r="E22" s="35">
        <f>E9+E21</f>
        <v>4408209</v>
      </c>
      <c r="F22" s="35">
        <f>F9+F21</f>
        <v>4970637.7379999999</v>
      </c>
      <c r="G22" s="35">
        <f>G9+G21</f>
        <v>5439987.1333800005</v>
      </c>
      <c r="H22" s="35">
        <f>H9+H21</f>
        <v>5871302.9986698013</v>
      </c>
    </row>
    <row r="24" spans="1:9">
      <c r="A24" s="41" t="s">
        <v>570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"/>
  <sheetViews>
    <sheetView showGridLines="0" workbookViewId="0">
      <selection activeCell="A9" sqref="A9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571</v>
      </c>
    </row>
    <row r="2" spans="1:8" s="45" customFormat="1" ht="34.799999999999997">
      <c r="A2" s="39" t="s">
        <v>935</v>
      </c>
    </row>
    <row r="4" spans="1:8" ht="26.4">
      <c r="A4" s="4" t="s">
        <v>572</v>
      </c>
      <c r="B4" s="4" t="s">
        <v>573</v>
      </c>
      <c r="C4" s="4" t="s">
        <v>574</v>
      </c>
      <c r="D4" s="4" t="s">
        <v>575</v>
      </c>
      <c r="E4" s="4" t="s">
        <v>576</v>
      </c>
      <c r="F4" s="4" t="s">
        <v>577</v>
      </c>
      <c r="G4" s="4" t="s">
        <v>578</v>
      </c>
      <c r="H4" s="4" t="s">
        <v>579</v>
      </c>
    </row>
    <row r="5" spans="1:8">
      <c r="A5" s="5" t="s">
        <v>437</v>
      </c>
      <c r="B5" s="6">
        <f>'06_Investment_Funding'!B5</f>
        <v>800000</v>
      </c>
      <c r="C5" s="38">
        <f>'04_Assumptions'!$C$56</f>
        <v>8</v>
      </c>
      <c r="D5" s="5" t="s">
        <v>580</v>
      </c>
      <c r="E5" s="12">
        <f>B5/C5</f>
        <v>100000</v>
      </c>
      <c r="F5" s="12">
        <f>B5-E5</f>
        <v>700000</v>
      </c>
      <c r="G5" s="12">
        <f>MAX(0,B5-E5*MIN(5,C5))</f>
        <v>300000</v>
      </c>
      <c r="H5" s="5" t="s">
        <v>175</v>
      </c>
    </row>
    <row r="6" spans="1:8">
      <c r="A6" s="5" t="s">
        <v>441</v>
      </c>
      <c r="B6" s="6">
        <f>'06_Investment_Funding'!B6</f>
        <v>350000</v>
      </c>
      <c r="C6" s="38">
        <f>'04_Assumptions'!$C$57</f>
        <v>8</v>
      </c>
      <c r="D6" s="5" t="s">
        <v>580</v>
      </c>
      <c r="E6" s="12">
        <f>B6/C6</f>
        <v>43750</v>
      </c>
      <c r="F6" s="12">
        <f>B6-E6</f>
        <v>306250</v>
      </c>
      <c r="G6" s="12">
        <f>MAX(0,B6-E6*MIN(5,C6))</f>
        <v>131250</v>
      </c>
      <c r="H6" s="5" t="s">
        <v>175</v>
      </c>
    </row>
    <row r="7" spans="1:8">
      <c r="A7" s="5" t="s">
        <v>418</v>
      </c>
      <c r="B7" s="6">
        <f>'06_Investment_Funding'!B7</f>
        <v>600000</v>
      </c>
      <c r="C7" s="38">
        <f>'04_Assumptions'!$C$58</f>
        <v>5</v>
      </c>
      <c r="D7" s="5" t="s">
        <v>580</v>
      </c>
      <c r="E7" s="12">
        <f>B7/C7</f>
        <v>120000</v>
      </c>
      <c r="F7" s="12">
        <f>B7-E7</f>
        <v>480000</v>
      </c>
      <c r="G7" s="12">
        <f>MAX(0,B7-E7*MIN(5,C7))</f>
        <v>0</v>
      </c>
      <c r="H7" s="5" t="s">
        <v>184</v>
      </c>
    </row>
    <row r="8" spans="1:8">
      <c r="A8" s="5" t="s">
        <v>421</v>
      </c>
      <c r="B8" s="6">
        <f>'06_Investment_Funding'!B8</f>
        <v>80000</v>
      </c>
      <c r="C8" s="38">
        <f>'04_Assumptions'!$C$59</f>
        <v>4</v>
      </c>
      <c r="D8" s="5" t="s">
        <v>580</v>
      </c>
      <c r="E8" s="12">
        <f>B8/C8</f>
        <v>20000</v>
      </c>
      <c r="F8" s="12">
        <f>B8-E8</f>
        <v>60000</v>
      </c>
      <c r="G8" s="12">
        <f>MAX(0,B8-E8*MIN(5,C8))</f>
        <v>0</v>
      </c>
      <c r="H8" s="5" t="s">
        <v>175</v>
      </c>
    </row>
    <row r="9" spans="1:8">
      <c r="A9" s="5" t="s">
        <v>581</v>
      </c>
      <c r="B9" s="6">
        <f>'06_Investment_Funding'!B9+'06_Investment_Funding'!B10+'06_Investment_Funding'!B11</f>
        <v>249000</v>
      </c>
      <c r="C9" s="38">
        <f>'04_Assumptions'!$C$60</f>
        <v>5</v>
      </c>
      <c r="D9" s="5" t="s">
        <v>580</v>
      </c>
      <c r="E9" s="12">
        <f>B9/C9</f>
        <v>49800</v>
      </c>
      <c r="F9" s="12">
        <f>B9-E9</f>
        <v>199200</v>
      </c>
      <c r="G9" s="12">
        <f>MAX(0,B9-E9*MIN(5,C9))</f>
        <v>0</v>
      </c>
      <c r="H9" s="5" t="s">
        <v>175</v>
      </c>
    </row>
    <row r="12" spans="1:8">
      <c r="A12" s="16" t="s">
        <v>582</v>
      </c>
    </row>
    <row r="13" spans="1:8">
      <c r="A13" s="4" t="s">
        <v>160</v>
      </c>
      <c r="B13" s="4" t="s">
        <v>64</v>
      </c>
      <c r="C13" s="4" t="s">
        <v>406</v>
      </c>
      <c r="D13" s="4" t="s">
        <v>276</v>
      </c>
      <c r="E13" s="4" t="s">
        <v>495</v>
      </c>
      <c r="F13" s="4" t="s">
        <v>496</v>
      </c>
      <c r="G13" s="4" t="s">
        <v>497</v>
      </c>
      <c r="H13" s="4" t="s">
        <v>465</v>
      </c>
    </row>
    <row r="14" spans="1:8" s="20" customFormat="1">
      <c r="A14" s="21" t="s">
        <v>583</v>
      </c>
      <c r="C14" s="22">
        <v>0</v>
      </c>
      <c r="D14" s="22">
        <v>1</v>
      </c>
      <c r="E14" s="22">
        <v>2</v>
      </c>
      <c r="F14" s="22">
        <v>3</v>
      </c>
      <c r="G14" s="22">
        <v>4</v>
      </c>
      <c r="H14" s="22">
        <v>5</v>
      </c>
    </row>
    <row r="15" spans="1:8">
      <c r="A15" s="5" t="s">
        <v>584</v>
      </c>
      <c r="B15" s="5" t="s">
        <v>585</v>
      </c>
      <c r="D15" s="12">
        <f>IF(D$14&lt;=$C$5,$B$5/$C$5,0)</f>
        <v>100000</v>
      </c>
      <c r="E15" s="12">
        <f>IF(E$14&lt;=$C$5,$B$5/$C$5,0)</f>
        <v>100000</v>
      </c>
      <c r="F15" s="12">
        <f>IF(F$14&lt;=$C$5,$B$5/$C$5,0)</f>
        <v>100000</v>
      </c>
      <c r="G15" s="12">
        <f>IF(G$14&lt;=$C$5,$B$5/$C$5,0)</f>
        <v>100000</v>
      </c>
      <c r="H15" s="12">
        <f>IF(H$14&lt;=$C$5,$B$5/$C$5,0)</f>
        <v>100000</v>
      </c>
    </row>
    <row r="16" spans="1:8">
      <c r="A16" s="5" t="s">
        <v>586</v>
      </c>
      <c r="B16" s="5" t="s">
        <v>585</v>
      </c>
      <c r="D16" s="12">
        <f>IF(D$14&lt;=$C$6,$B$6/$C$6,0)</f>
        <v>43750</v>
      </c>
      <c r="E16" s="12">
        <f>IF(E$14&lt;=$C$6,$B$6/$C$6,0)</f>
        <v>43750</v>
      </c>
      <c r="F16" s="12">
        <f>IF(F$14&lt;=$C$6,$B$6/$C$6,0)</f>
        <v>43750</v>
      </c>
      <c r="G16" s="12">
        <f>IF(G$14&lt;=$C$6,$B$6/$C$6,0)</f>
        <v>43750</v>
      </c>
      <c r="H16" s="12">
        <f>IF(H$14&lt;=$C$6,$B$6/$C$6,0)</f>
        <v>43750</v>
      </c>
    </row>
    <row r="17" spans="1:8">
      <c r="A17" s="5" t="s">
        <v>587</v>
      </c>
      <c r="B17" s="5" t="s">
        <v>585</v>
      </c>
      <c r="D17" s="12">
        <f>IF(D$14&lt;=$C$7,$B$7/$C$7,0)</f>
        <v>120000</v>
      </c>
      <c r="E17" s="12">
        <f>IF(E$14&lt;=$C$7,$B$7/$C$7,0)</f>
        <v>120000</v>
      </c>
      <c r="F17" s="12">
        <f>IF(F$14&lt;=$C$7,$B$7/$C$7,0)</f>
        <v>120000</v>
      </c>
      <c r="G17" s="12">
        <f>IF(G$14&lt;=$C$7,$B$7/$C$7,0)</f>
        <v>120000</v>
      </c>
      <c r="H17" s="12">
        <f>IF(H$14&lt;=$C$7,$B$7/$C$7,0)</f>
        <v>120000</v>
      </c>
    </row>
    <row r="18" spans="1:8">
      <c r="A18" s="5" t="s">
        <v>588</v>
      </c>
      <c r="B18" s="5" t="s">
        <v>585</v>
      </c>
      <c r="D18" s="12">
        <f>IF(D$14&lt;=$C$8,$B$8/$C$8,0)</f>
        <v>20000</v>
      </c>
      <c r="E18" s="12">
        <f>IF(E$14&lt;=$C$8,$B$8/$C$8,0)</f>
        <v>20000</v>
      </c>
      <c r="F18" s="12">
        <f>IF(F$14&lt;=$C$8,$B$8/$C$8,0)</f>
        <v>20000</v>
      </c>
      <c r="G18" s="12">
        <f>IF(G$14&lt;=$C$8,$B$8/$C$8,0)</f>
        <v>20000</v>
      </c>
      <c r="H18" s="12">
        <f>IF(H$14&lt;=$C$8,$B$8/$C$8,0)</f>
        <v>0</v>
      </c>
    </row>
    <row r="19" spans="1:8">
      <c r="A19" s="5" t="s">
        <v>589</v>
      </c>
      <c r="B19" s="5" t="s">
        <v>585</v>
      </c>
      <c r="D19" s="12">
        <f>IF(D$14&lt;=$C$9,$B$9/$C$9,0)</f>
        <v>49800</v>
      </c>
      <c r="E19" s="12">
        <f>IF(E$14&lt;=$C$9,$B$9/$C$9,0)</f>
        <v>49800</v>
      </c>
      <c r="F19" s="12">
        <f>IF(F$14&lt;=$C$9,$B$9/$C$9,0)</f>
        <v>49800</v>
      </c>
      <c r="G19" s="12">
        <f>IF(G$14&lt;=$C$9,$B$9/$C$9,0)</f>
        <v>49800</v>
      </c>
      <c r="H19" s="12">
        <f>IF(H$14&lt;=$C$9,$B$9/$C$9,0)</f>
        <v>49800</v>
      </c>
    </row>
    <row r="20" spans="1:8">
      <c r="A20" s="16" t="s">
        <v>590</v>
      </c>
      <c r="B20" s="5" t="s">
        <v>585</v>
      </c>
      <c r="C20" s="34"/>
      <c r="D20" s="35">
        <f>SUM(D15:D19)</f>
        <v>333550</v>
      </c>
      <c r="E20" s="35">
        <f>SUM(E15:E19)</f>
        <v>333550</v>
      </c>
      <c r="F20" s="35">
        <f>SUM(F15:F19)</f>
        <v>333550</v>
      </c>
      <c r="G20" s="35">
        <f>SUM(G15:G19)</f>
        <v>333550</v>
      </c>
      <c r="H20" s="35">
        <f>SUM(H15:H19)</f>
        <v>313550</v>
      </c>
    </row>
    <row r="22" spans="1:8">
      <c r="A22" s="5" t="s">
        <v>591</v>
      </c>
      <c r="C22" s="12">
        <f>$B$5</f>
        <v>800000</v>
      </c>
      <c r="D22" s="12">
        <f t="shared" ref="D22:H26" si="0">C22-D15</f>
        <v>700000</v>
      </c>
      <c r="E22" s="12">
        <f t="shared" si="0"/>
        <v>600000</v>
      </c>
      <c r="F22" s="12">
        <f t="shared" si="0"/>
        <v>500000</v>
      </c>
      <c r="G22" s="12">
        <f t="shared" si="0"/>
        <v>400000</v>
      </c>
      <c r="H22" s="12">
        <f t="shared" si="0"/>
        <v>300000</v>
      </c>
    </row>
    <row r="23" spans="1:8">
      <c r="A23" s="5" t="s">
        <v>592</v>
      </c>
      <c r="C23" s="12">
        <f>$B$6</f>
        <v>350000</v>
      </c>
      <c r="D23" s="12">
        <f t="shared" si="0"/>
        <v>306250</v>
      </c>
      <c r="E23" s="12">
        <f t="shared" si="0"/>
        <v>262500</v>
      </c>
      <c r="F23" s="12">
        <f t="shared" si="0"/>
        <v>218750</v>
      </c>
      <c r="G23" s="12">
        <f t="shared" si="0"/>
        <v>175000</v>
      </c>
      <c r="H23" s="12">
        <f t="shared" si="0"/>
        <v>131250</v>
      </c>
    </row>
    <row r="24" spans="1:8">
      <c r="A24" s="5" t="s">
        <v>593</v>
      </c>
      <c r="C24" s="12">
        <f>$B$7</f>
        <v>600000</v>
      </c>
      <c r="D24" s="12">
        <f t="shared" si="0"/>
        <v>480000</v>
      </c>
      <c r="E24" s="12">
        <f t="shared" si="0"/>
        <v>360000</v>
      </c>
      <c r="F24" s="12">
        <f t="shared" si="0"/>
        <v>240000</v>
      </c>
      <c r="G24" s="12">
        <f t="shared" si="0"/>
        <v>120000</v>
      </c>
      <c r="H24" s="12">
        <f t="shared" si="0"/>
        <v>0</v>
      </c>
    </row>
    <row r="25" spans="1:8">
      <c r="A25" s="5" t="s">
        <v>594</v>
      </c>
      <c r="C25" s="12">
        <f>$B$8</f>
        <v>80000</v>
      </c>
      <c r="D25" s="12">
        <f t="shared" si="0"/>
        <v>60000</v>
      </c>
      <c r="E25" s="12">
        <f t="shared" si="0"/>
        <v>40000</v>
      </c>
      <c r="F25" s="12">
        <f t="shared" si="0"/>
        <v>20000</v>
      </c>
      <c r="G25" s="12">
        <f t="shared" si="0"/>
        <v>0</v>
      </c>
      <c r="H25" s="12">
        <f t="shared" si="0"/>
        <v>0</v>
      </c>
    </row>
    <row r="26" spans="1:8">
      <c r="A26" s="5" t="s">
        <v>595</v>
      </c>
      <c r="C26" s="12">
        <f>$B$9</f>
        <v>249000</v>
      </c>
      <c r="D26" s="12">
        <f t="shared" si="0"/>
        <v>199200</v>
      </c>
      <c r="E26" s="12">
        <f t="shared" si="0"/>
        <v>149400</v>
      </c>
      <c r="F26" s="12">
        <f t="shared" si="0"/>
        <v>99600</v>
      </c>
      <c r="G26" s="12">
        <f t="shared" si="0"/>
        <v>49800</v>
      </c>
      <c r="H26" s="12">
        <f t="shared" si="0"/>
        <v>0</v>
      </c>
    </row>
    <row r="27" spans="1:8">
      <c r="A27" s="16" t="s">
        <v>596</v>
      </c>
      <c r="C27" s="43">
        <f t="shared" ref="C27:H27" si="1">SUM(C22:C26)</f>
        <v>2079000</v>
      </c>
      <c r="D27" s="43">
        <f t="shared" si="1"/>
        <v>1745450</v>
      </c>
      <c r="E27" s="43">
        <f t="shared" si="1"/>
        <v>1411900</v>
      </c>
      <c r="F27" s="43">
        <f t="shared" si="1"/>
        <v>1078350</v>
      </c>
      <c r="G27" s="43">
        <f t="shared" si="1"/>
        <v>744800</v>
      </c>
      <c r="H27" s="43">
        <f t="shared" si="1"/>
        <v>431250</v>
      </c>
    </row>
    <row r="28" spans="1:8">
      <c r="A28" s="5" t="s">
        <v>597</v>
      </c>
      <c r="C28" s="12">
        <f t="shared" ref="C28:H28" si="2">SUM(C22:C25)</f>
        <v>1830000</v>
      </c>
      <c r="D28" s="12">
        <f t="shared" si="2"/>
        <v>1546250</v>
      </c>
      <c r="E28" s="12">
        <f t="shared" si="2"/>
        <v>1262500</v>
      </c>
      <c r="F28" s="12">
        <f t="shared" si="2"/>
        <v>978750</v>
      </c>
      <c r="G28" s="12">
        <f t="shared" si="2"/>
        <v>695000</v>
      </c>
      <c r="H28" s="12">
        <f t="shared" si="2"/>
        <v>431250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0" sqref="A20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598</v>
      </c>
    </row>
    <row r="2" spans="1:8" s="40" customFormat="1" ht="23.4">
      <c r="A2" s="39" t="s">
        <v>599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>
      <c r="A5" s="41" t="s">
        <v>503</v>
      </c>
      <c r="B5" s="41"/>
      <c r="C5" s="42">
        <v>0</v>
      </c>
      <c r="D5" s="42">
        <v>1</v>
      </c>
      <c r="E5" s="42">
        <v>2</v>
      </c>
      <c r="F5" s="42">
        <v>3</v>
      </c>
      <c r="G5" s="42">
        <v>4</v>
      </c>
      <c r="H5" s="42">
        <v>5</v>
      </c>
    </row>
    <row r="6" spans="1:8">
      <c r="A6" s="5" t="s">
        <v>600</v>
      </c>
      <c r="B6" s="41"/>
      <c r="C6" s="12">
        <v>0</v>
      </c>
      <c r="D6" s="12">
        <f>C9</f>
        <v>1464765</v>
      </c>
      <c r="E6" s="12">
        <f>D9</f>
        <v>1171812</v>
      </c>
      <c r="F6" s="12">
        <f>E9</f>
        <v>878859</v>
      </c>
      <c r="G6" s="12">
        <f>F9</f>
        <v>585906</v>
      </c>
      <c r="H6" s="12">
        <f>G9</f>
        <v>292953</v>
      </c>
    </row>
    <row r="7" spans="1:8">
      <c r="A7" s="5" t="s">
        <v>601</v>
      </c>
      <c r="B7" s="41"/>
      <c r="C7" s="6">
        <f>'06_Investment_Funding'!B19</f>
        <v>1464765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</row>
    <row r="8" spans="1:8">
      <c r="A8" s="5" t="s">
        <v>602</v>
      </c>
      <c r="B8" s="41"/>
      <c r="C8" s="12">
        <v>0</v>
      </c>
      <c r="D8" s="6">
        <f>MIN(D6,$C$7/'04_Assumptions'!$C$64)</f>
        <v>292953</v>
      </c>
      <c r="E8" s="6">
        <f>MIN(E6,$C$7/'04_Assumptions'!$C$64)</f>
        <v>292953</v>
      </c>
      <c r="F8" s="6">
        <f>MIN(F6,$C$7/'04_Assumptions'!$C$64)</f>
        <v>292953</v>
      </c>
      <c r="G8" s="6">
        <f>MIN(G6,$C$7/'04_Assumptions'!$C$64)</f>
        <v>292953</v>
      </c>
      <c r="H8" s="6">
        <f>MIN(H6,$C$7/'04_Assumptions'!$C$64)</f>
        <v>292953</v>
      </c>
    </row>
    <row r="9" spans="1:8">
      <c r="A9" s="16" t="s">
        <v>603</v>
      </c>
      <c r="B9" s="41"/>
      <c r="C9" s="43">
        <f t="shared" ref="C9:H9" si="0">C6+C7-C8</f>
        <v>1464765</v>
      </c>
      <c r="D9" s="43">
        <f t="shared" si="0"/>
        <v>1171812</v>
      </c>
      <c r="E9" s="43">
        <f t="shared" si="0"/>
        <v>878859</v>
      </c>
      <c r="F9" s="43">
        <f t="shared" si="0"/>
        <v>585906</v>
      </c>
      <c r="G9" s="43">
        <f t="shared" si="0"/>
        <v>292953</v>
      </c>
      <c r="H9" s="43">
        <f t="shared" si="0"/>
        <v>0</v>
      </c>
    </row>
    <row r="10" spans="1:8">
      <c r="A10" s="5" t="s">
        <v>604</v>
      </c>
      <c r="B10" s="41"/>
      <c r="C10" s="41"/>
      <c r="D10" s="44">
        <f>'04_Assumptions'!$C$63</f>
        <v>0.1</v>
      </c>
      <c r="E10" s="44">
        <f>'04_Assumptions'!$C$63</f>
        <v>0.1</v>
      </c>
      <c r="F10" s="44">
        <f>'04_Assumptions'!$C$63</f>
        <v>0.1</v>
      </c>
      <c r="G10" s="44">
        <f>'04_Assumptions'!$C$63</f>
        <v>0.1</v>
      </c>
      <c r="H10" s="44">
        <f>'04_Assumptions'!$C$63</f>
        <v>0.1</v>
      </c>
    </row>
    <row r="11" spans="1:8">
      <c r="A11" s="16" t="s">
        <v>605</v>
      </c>
      <c r="B11" s="41"/>
      <c r="C11" s="41"/>
      <c r="D11" s="43">
        <f>D6*D10</f>
        <v>146476.5</v>
      </c>
      <c r="E11" s="43">
        <f>E6*E10</f>
        <v>117181.20000000001</v>
      </c>
      <c r="F11" s="43">
        <f>F6*F10</f>
        <v>87885.900000000009</v>
      </c>
      <c r="G11" s="43">
        <f>G6*G10</f>
        <v>58590.600000000006</v>
      </c>
      <c r="H11" s="43">
        <f>H6*H10</f>
        <v>29295.300000000003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5" sqref="A1:XFD1048576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606</v>
      </c>
    </row>
    <row r="2" spans="1:8" s="20" customFormat="1">
      <c r="A2" s="19" t="s">
        <v>607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 s="20" customFormat="1">
      <c r="A5" s="21" t="s">
        <v>503</v>
      </c>
      <c r="C5" s="22">
        <v>0</v>
      </c>
      <c r="D5" s="22">
        <v>1</v>
      </c>
      <c r="E5" s="22">
        <v>2</v>
      </c>
      <c r="F5" s="22">
        <v>3</v>
      </c>
      <c r="G5" s="22">
        <v>4</v>
      </c>
      <c r="H5" s="22">
        <v>5</v>
      </c>
    </row>
    <row r="6" spans="1:8">
      <c r="A6" s="5" t="s">
        <v>608</v>
      </c>
      <c r="B6" s="5" t="s">
        <v>609</v>
      </c>
      <c r="D6" s="6">
        <f>'07_Revenue_Model'!D11</f>
        <v>3960000</v>
      </c>
      <c r="E6" s="6">
        <f>'07_Revenue_Model'!E11</f>
        <v>4989600</v>
      </c>
      <c r="F6" s="6">
        <f>'07_Revenue_Model'!F11</f>
        <v>6112260</v>
      </c>
      <c r="G6" s="6">
        <f>'07_Revenue_Model'!G11</f>
        <v>6967976.4000000013</v>
      </c>
      <c r="H6" s="6">
        <f>'07_Revenue_Model'!H11</f>
        <v>7701447.5999999996</v>
      </c>
    </row>
    <row r="7" spans="1:8">
      <c r="A7" s="5" t="s">
        <v>610</v>
      </c>
      <c r="B7" s="5" t="s">
        <v>609</v>
      </c>
      <c r="D7" s="6">
        <f>'08_Cost_Model'!D9</f>
        <v>1425600</v>
      </c>
      <c r="E7" s="6">
        <f>'08_Cost_Model'!E9</f>
        <v>1796256</v>
      </c>
      <c r="F7" s="6">
        <f>'08_Cost_Model'!F9</f>
        <v>2200413.6</v>
      </c>
      <c r="G7" s="6">
        <f>'08_Cost_Model'!G9</f>
        <v>2508471.5040000002</v>
      </c>
      <c r="H7" s="6">
        <f>'08_Cost_Model'!H9</f>
        <v>2772521.1359999999</v>
      </c>
    </row>
    <row r="8" spans="1:8">
      <c r="A8" s="5" t="s">
        <v>394</v>
      </c>
      <c r="B8" s="5" t="s">
        <v>395</v>
      </c>
      <c r="D8" s="38">
        <f>'04_Assumptions'!$C$42</f>
        <v>2</v>
      </c>
      <c r="E8" s="38">
        <f>'04_Assumptions'!$C$42</f>
        <v>2</v>
      </c>
      <c r="F8" s="38">
        <f>'04_Assumptions'!$C$42</f>
        <v>2</v>
      </c>
      <c r="G8" s="38">
        <f>'04_Assumptions'!$C$42</f>
        <v>2</v>
      </c>
      <c r="H8" s="38">
        <f>'04_Assumptions'!$C$42</f>
        <v>2</v>
      </c>
    </row>
    <row r="9" spans="1:8">
      <c r="A9" s="5" t="s">
        <v>611</v>
      </c>
      <c r="B9" s="5" t="s">
        <v>395</v>
      </c>
      <c r="D9" s="38">
        <f>'04_Assumptions'!$C$43</f>
        <v>7</v>
      </c>
      <c r="E9" s="38">
        <f>'04_Assumptions'!$C$43</f>
        <v>7</v>
      </c>
      <c r="F9" s="38">
        <f>'04_Assumptions'!$C$43</f>
        <v>7</v>
      </c>
      <c r="G9" s="38">
        <f>'04_Assumptions'!$C$43</f>
        <v>7</v>
      </c>
      <c r="H9" s="38">
        <f>'04_Assumptions'!$C$43</f>
        <v>7</v>
      </c>
    </row>
    <row r="10" spans="1:8">
      <c r="A10" s="5" t="s">
        <v>612</v>
      </c>
      <c r="B10" s="5" t="s">
        <v>395</v>
      </c>
      <c r="D10" s="38">
        <f>'04_Assumptions'!$C$44</f>
        <v>10</v>
      </c>
      <c r="E10" s="38">
        <f>'04_Assumptions'!$C$44</f>
        <v>10</v>
      </c>
      <c r="F10" s="38">
        <f>'04_Assumptions'!$C$44</f>
        <v>10</v>
      </c>
      <c r="G10" s="38">
        <f>'04_Assumptions'!$C$44</f>
        <v>10</v>
      </c>
      <c r="H10" s="38">
        <f>'04_Assumptions'!$C$44</f>
        <v>10</v>
      </c>
    </row>
    <row r="11" spans="1:8">
      <c r="A11" s="5" t="s">
        <v>613</v>
      </c>
      <c r="B11" s="5" t="s">
        <v>572</v>
      </c>
      <c r="C11" s="12">
        <v>0</v>
      </c>
      <c r="D11" s="12">
        <f t="shared" ref="D11:H12" si="0">D6*D8/365</f>
        <v>21698.630136986303</v>
      </c>
      <c r="E11" s="12">
        <f t="shared" si="0"/>
        <v>27340.273972602739</v>
      </c>
      <c r="F11" s="12">
        <f t="shared" si="0"/>
        <v>33491.835616438359</v>
      </c>
      <c r="G11" s="12">
        <f t="shared" si="0"/>
        <v>38180.692602739735</v>
      </c>
      <c r="H11" s="12">
        <f t="shared" si="0"/>
        <v>42199.712876712329</v>
      </c>
    </row>
    <row r="12" spans="1:8">
      <c r="A12" s="5" t="s">
        <v>614</v>
      </c>
      <c r="B12" s="5" t="s">
        <v>572</v>
      </c>
      <c r="C12" s="12">
        <v>0</v>
      </c>
      <c r="D12" s="12">
        <f t="shared" si="0"/>
        <v>27340.273972602739</v>
      </c>
      <c r="E12" s="12">
        <f t="shared" si="0"/>
        <v>34448.745205479448</v>
      </c>
      <c r="F12" s="12">
        <f t="shared" si="0"/>
        <v>42199.712876712329</v>
      </c>
      <c r="G12" s="12">
        <f t="shared" si="0"/>
        <v>48107.672679452058</v>
      </c>
      <c r="H12" s="12">
        <f t="shared" si="0"/>
        <v>53171.63822465753</v>
      </c>
    </row>
    <row r="13" spans="1:8">
      <c r="A13" s="5" t="s">
        <v>615</v>
      </c>
      <c r="B13" s="5" t="s">
        <v>616</v>
      </c>
      <c r="C13" s="12">
        <v>0</v>
      </c>
      <c r="D13" s="12">
        <f>D7*D10/365</f>
        <v>39057.534246575342</v>
      </c>
      <c r="E13" s="12">
        <f>E7*E10/365</f>
        <v>49212.493150684932</v>
      </c>
      <c r="F13" s="12">
        <f>F7*F10/365</f>
        <v>60285.304109589044</v>
      </c>
      <c r="G13" s="12">
        <f>G7*G10/365</f>
        <v>68725.24668493151</v>
      </c>
      <c r="H13" s="12">
        <f>H7*H10/365</f>
        <v>75959.483178082184</v>
      </c>
    </row>
    <row r="14" spans="1:8">
      <c r="A14" s="16" t="s">
        <v>617</v>
      </c>
      <c r="C14" s="35">
        <v>0</v>
      </c>
      <c r="D14" s="35">
        <f>D11+D12-D13</f>
        <v>9981.3698630137005</v>
      </c>
      <c r="E14" s="35">
        <f>E11+E12-E13</f>
        <v>12576.52602739726</v>
      </c>
      <c r="F14" s="35">
        <f>F11+F12-F13</f>
        <v>15406.244383561636</v>
      </c>
      <c r="G14" s="35">
        <f>G11+G12-G13</f>
        <v>17563.118597260283</v>
      </c>
      <c r="H14" s="35">
        <f>H11+H12-H13</f>
        <v>19411.867923287675</v>
      </c>
    </row>
    <row r="15" spans="1:8">
      <c r="A15" s="16" t="s">
        <v>618</v>
      </c>
      <c r="C15" s="34"/>
      <c r="D15" s="35">
        <f>D14-C14</f>
        <v>9981.3698630137005</v>
      </c>
      <c r="E15" s="35">
        <f>E14-D14</f>
        <v>2595.1561643835594</v>
      </c>
      <c r="F15" s="35">
        <f>F14-E14</f>
        <v>2829.718356164376</v>
      </c>
      <c r="G15" s="35">
        <f>G14-F14</f>
        <v>2156.8742136986475</v>
      </c>
      <c r="H15" s="35">
        <f>H14-G14</f>
        <v>1848.7493260273914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8" sqref="A1:XFD1048576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619</v>
      </c>
    </row>
    <row r="2" spans="1:8" s="20" customFormat="1">
      <c r="A2" s="19" t="s">
        <v>620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 s="20" customFormat="1">
      <c r="A5" s="21" t="s">
        <v>503</v>
      </c>
      <c r="C5" s="22">
        <v>0</v>
      </c>
      <c r="D5" s="22">
        <v>1</v>
      </c>
      <c r="E5" s="22">
        <v>2</v>
      </c>
      <c r="F5" s="22">
        <v>3</v>
      </c>
      <c r="G5" s="22">
        <v>4</v>
      </c>
      <c r="H5" s="22">
        <v>5</v>
      </c>
    </row>
    <row r="6" spans="1:8">
      <c r="A6" s="16" t="s">
        <v>608</v>
      </c>
      <c r="C6" s="34"/>
      <c r="D6" s="24">
        <f>'07_Revenue_Model'!D11</f>
        <v>3960000</v>
      </c>
      <c r="E6" s="24">
        <f>'07_Revenue_Model'!E11</f>
        <v>4989600</v>
      </c>
      <c r="F6" s="24">
        <f>'07_Revenue_Model'!F11</f>
        <v>6112260</v>
      </c>
      <c r="G6" s="24">
        <f>'07_Revenue_Model'!G11</f>
        <v>6967976.4000000013</v>
      </c>
      <c r="H6" s="24">
        <f>'07_Revenue_Model'!H11</f>
        <v>7701447.5999999996</v>
      </c>
    </row>
    <row r="7" spans="1:8">
      <c r="A7" s="5" t="s">
        <v>610</v>
      </c>
      <c r="D7" s="6">
        <f>'08_Cost_Model'!D9</f>
        <v>1425600</v>
      </c>
      <c r="E7" s="6">
        <f>'08_Cost_Model'!E9</f>
        <v>1796256</v>
      </c>
      <c r="F7" s="6">
        <f>'08_Cost_Model'!F9</f>
        <v>2200413.6</v>
      </c>
      <c r="G7" s="6">
        <f>'08_Cost_Model'!G9</f>
        <v>2508471.5040000002</v>
      </c>
      <c r="H7" s="6">
        <f>'08_Cost_Model'!H9</f>
        <v>2772521.1359999999</v>
      </c>
    </row>
    <row r="8" spans="1:8">
      <c r="A8" s="16" t="s">
        <v>621</v>
      </c>
      <c r="C8" s="34"/>
      <c r="D8" s="35">
        <f>D6-D7</f>
        <v>2534400</v>
      </c>
      <c r="E8" s="35">
        <f>E6-E7</f>
        <v>3193344</v>
      </c>
      <c r="F8" s="35">
        <f>F6-F7</f>
        <v>3911846.4</v>
      </c>
      <c r="G8" s="35">
        <f>G6-G7</f>
        <v>4459504.8960000016</v>
      </c>
      <c r="H8" s="35">
        <f>H6-H7</f>
        <v>4928926.4639999997</v>
      </c>
    </row>
    <row r="9" spans="1:8">
      <c r="A9" s="5" t="s">
        <v>622</v>
      </c>
      <c r="D9" s="6">
        <f>'08_Cost_Model'!D21</f>
        <v>2462580</v>
      </c>
      <c r="E9" s="6">
        <f>'08_Cost_Model'!E21</f>
        <v>2611953</v>
      </c>
      <c r="F9" s="6">
        <f>'08_Cost_Model'!F21</f>
        <v>2770224.1380000003</v>
      </c>
      <c r="G9" s="6">
        <f>'08_Cost_Model'!G21</f>
        <v>2931515.6293800003</v>
      </c>
      <c r="H9" s="6">
        <f>'08_Cost_Model'!H21</f>
        <v>3098781.8626698013</v>
      </c>
    </row>
    <row r="10" spans="1:8">
      <c r="A10" s="16" t="s">
        <v>623</v>
      </c>
      <c r="C10" s="34"/>
      <c r="D10" s="35">
        <f>D8-D9</f>
        <v>71820</v>
      </c>
      <c r="E10" s="35">
        <f>E8-E9</f>
        <v>581391</v>
      </c>
      <c r="F10" s="35">
        <f>F8-F9</f>
        <v>1141622.2619999996</v>
      </c>
      <c r="G10" s="35">
        <f>G8-G9</f>
        <v>1527989.2666200013</v>
      </c>
      <c r="H10" s="35">
        <f>H8-H9</f>
        <v>1830144.6013301983</v>
      </c>
    </row>
    <row r="11" spans="1:8">
      <c r="A11" s="5" t="s">
        <v>624</v>
      </c>
      <c r="D11" s="6">
        <f>'09_Assets_Depreciation'!D20</f>
        <v>333550</v>
      </c>
      <c r="E11" s="6">
        <f>'09_Assets_Depreciation'!E20</f>
        <v>333550</v>
      </c>
      <c r="F11" s="6">
        <f>'09_Assets_Depreciation'!F20</f>
        <v>333550</v>
      </c>
      <c r="G11" s="6">
        <f>'09_Assets_Depreciation'!G20</f>
        <v>333550</v>
      </c>
      <c r="H11" s="6">
        <f>'09_Assets_Depreciation'!H20</f>
        <v>313550</v>
      </c>
    </row>
    <row r="12" spans="1:8">
      <c r="A12" s="16" t="s">
        <v>625</v>
      </c>
      <c r="C12" s="34"/>
      <c r="D12" s="35">
        <f>D10-D11</f>
        <v>-261730</v>
      </c>
      <c r="E12" s="35">
        <f>E10-E11</f>
        <v>247841</v>
      </c>
      <c r="F12" s="35">
        <f>F10-F11</f>
        <v>808072.26199999964</v>
      </c>
      <c r="G12" s="35">
        <f>G10-G11</f>
        <v>1194439.2666200013</v>
      </c>
      <c r="H12" s="35">
        <f>H10-H11</f>
        <v>1516594.6013301983</v>
      </c>
    </row>
    <row r="13" spans="1:8">
      <c r="A13" s="5" t="s">
        <v>605</v>
      </c>
      <c r="D13" s="6">
        <f>'10_Debt_Schedule'!D11</f>
        <v>146476.5</v>
      </c>
      <c r="E13" s="6">
        <f>'10_Debt_Schedule'!E11</f>
        <v>117181.20000000001</v>
      </c>
      <c r="F13" s="6">
        <f>'10_Debt_Schedule'!F11</f>
        <v>87885.900000000009</v>
      </c>
      <c r="G13" s="6">
        <f>'10_Debt_Schedule'!G11</f>
        <v>58590.600000000006</v>
      </c>
      <c r="H13" s="6">
        <f>'10_Debt_Schedule'!H11</f>
        <v>29295.300000000003</v>
      </c>
    </row>
    <row r="14" spans="1:8">
      <c r="A14" s="16" t="s">
        <v>626</v>
      </c>
      <c r="C14" s="34"/>
      <c r="D14" s="35">
        <f>D12-D13</f>
        <v>-408206.5</v>
      </c>
      <c r="E14" s="35">
        <f>E12-E13</f>
        <v>130659.79999999999</v>
      </c>
      <c r="F14" s="35">
        <f>F12-F13</f>
        <v>720186.36199999962</v>
      </c>
      <c r="G14" s="35">
        <f>G12-G13</f>
        <v>1135848.6666200012</v>
      </c>
      <c r="H14" s="35">
        <f>H12-H13</f>
        <v>1487299.3013301983</v>
      </c>
    </row>
    <row r="15" spans="1:8">
      <c r="A15" s="5" t="s">
        <v>627</v>
      </c>
      <c r="D15" s="6">
        <f>MAX(0,D14)*'04_Assumptions'!$C$40</f>
        <v>0</v>
      </c>
      <c r="E15" s="6">
        <f>MAX(0,E14)*'04_Assumptions'!$C$40</f>
        <v>32887.071659999994</v>
      </c>
      <c r="F15" s="6">
        <f>MAX(0,F14)*'04_Assumptions'!$C$40</f>
        <v>181270.90731539988</v>
      </c>
      <c r="G15" s="6">
        <f>MAX(0,G14)*'04_Assumptions'!$C$40</f>
        <v>285893.10938825429</v>
      </c>
      <c r="H15" s="6">
        <f>MAX(0,H14)*'04_Assumptions'!$C$40</f>
        <v>374353.23414481088</v>
      </c>
    </row>
    <row r="16" spans="1:8">
      <c r="A16" s="16" t="s">
        <v>628</v>
      </c>
      <c r="C16" s="34"/>
      <c r="D16" s="36">
        <f>D14-D15</f>
        <v>-408206.5</v>
      </c>
      <c r="E16" s="36">
        <f>E14-E15</f>
        <v>97772.728340000001</v>
      </c>
      <c r="F16" s="36">
        <f>F14-F15</f>
        <v>538915.45468459977</v>
      </c>
      <c r="G16" s="36">
        <f>G14-G15</f>
        <v>849955.55723174685</v>
      </c>
      <c r="H16" s="36">
        <f>H14-H15</f>
        <v>1112946.0671853875</v>
      </c>
    </row>
    <row r="17" spans="1:8">
      <c r="A17" s="5" t="s">
        <v>629</v>
      </c>
      <c r="D17" s="9">
        <f>D10/D6</f>
        <v>1.8136363636363638E-2</v>
      </c>
      <c r="E17" s="9">
        <f>E10/E6</f>
        <v>0.11652056277056277</v>
      </c>
      <c r="F17" s="9">
        <f>F10/F6</f>
        <v>0.18677580174927108</v>
      </c>
      <c r="G17" s="9">
        <f>G10/G6</f>
        <v>0.21928737683726957</v>
      </c>
      <c r="H17" s="9">
        <f>H10/H6</f>
        <v>0.2376364414048858</v>
      </c>
    </row>
    <row r="18" spans="1:8">
      <c r="A18" s="5" t="s">
        <v>630</v>
      </c>
      <c r="D18" s="9">
        <f>D16/D6</f>
        <v>-0.10308244949494949</v>
      </c>
      <c r="E18" s="9">
        <f>E16/E6</f>
        <v>1.9595303900112233E-2</v>
      </c>
      <c r="F18" s="9">
        <f>F16/F6</f>
        <v>8.8169589429212727E-2</v>
      </c>
      <c r="G18" s="9">
        <f>G16/G6</f>
        <v>0.12198025774480906</v>
      </c>
      <c r="H18" s="9">
        <f>H16/H6</f>
        <v>0.14451128216276996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2" activeCellId="1" sqref="A5:XFD5 A1:XFD1048576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631</v>
      </c>
    </row>
    <row r="2" spans="1:8" s="20" customFormat="1">
      <c r="A2" s="19" t="s">
        <v>943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 s="20" customFormat="1">
      <c r="A5" s="21" t="s">
        <v>503</v>
      </c>
      <c r="C5" s="22">
        <v>0</v>
      </c>
      <c r="D5" s="22">
        <v>1</v>
      </c>
      <c r="E5" s="22">
        <v>2</v>
      </c>
      <c r="F5" s="22">
        <v>3</v>
      </c>
      <c r="G5" s="22">
        <v>4</v>
      </c>
      <c r="H5" s="22">
        <v>5</v>
      </c>
    </row>
    <row r="6" spans="1:8">
      <c r="A6" s="5" t="s">
        <v>628</v>
      </c>
      <c r="C6" s="12">
        <v>0</v>
      </c>
      <c r="D6" s="6">
        <f>'12_Income_Statement'!D16</f>
        <v>-408206.5</v>
      </c>
      <c r="E6" s="6">
        <f>'12_Income_Statement'!E16</f>
        <v>97772.728340000001</v>
      </c>
      <c r="F6" s="6">
        <f>'12_Income_Statement'!F16</f>
        <v>538915.45468459977</v>
      </c>
      <c r="G6" s="6">
        <f>'12_Income_Statement'!G16</f>
        <v>849955.55723174685</v>
      </c>
      <c r="H6" s="6">
        <f>'12_Income_Statement'!H16</f>
        <v>1112946.0671853875</v>
      </c>
    </row>
    <row r="7" spans="1:8">
      <c r="A7" s="5" t="s">
        <v>632</v>
      </c>
      <c r="C7" s="12">
        <v>0</v>
      </c>
      <c r="D7" s="6">
        <f>'12_Income_Statement'!D11</f>
        <v>333550</v>
      </c>
      <c r="E7" s="6">
        <f>'12_Income_Statement'!E11</f>
        <v>333550</v>
      </c>
      <c r="F7" s="6">
        <f>'12_Income_Statement'!F11</f>
        <v>333550</v>
      </c>
      <c r="G7" s="6">
        <f>'12_Income_Statement'!G11</f>
        <v>333550</v>
      </c>
      <c r="H7" s="6">
        <f>'12_Income_Statement'!H11</f>
        <v>313550</v>
      </c>
    </row>
    <row r="8" spans="1:8">
      <c r="A8" s="5" t="s">
        <v>633</v>
      </c>
      <c r="C8" s="12">
        <v>0</v>
      </c>
      <c r="D8" s="6">
        <v>-9981.3698630137005</v>
      </c>
      <c r="E8" s="6">
        <v>-2595.1561643835598</v>
      </c>
      <c r="F8" s="6">
        <v>-2829.7183561643801</v>
      </c>
      <c r="G8" s="6">
        <v>-2156.8742136986498</v>
      </c>
      <c r="H8" s="6">
        <v>-1848.74932602739</v>
      </c>
    </row>
    <row r="9" spans="1:8">
      <c r="A9" s="16" t="s">
        <v>634</v>
      </c>
      <c r="C9" s="35">
        <f t="shared" ref="C9:H9" si="0">SUM(C6:C8)</f>
        <v>0</v>
      </c>
      <c r="D9" s="35">
        <f t="shared" si="0"/>
        <v>-84637.869863013708</v>
      </c>
      <c r="E9" s="35">
        <f t="shared" si="0"/>
        <v>428727.57217561646</v>
      </c>
      <c r="F9" s="35">
        <f t="shared" si="0"/>
        <v>869635.73632843536</v>
      </c>
      <c r="G9" s="35">
        <f t="shared" si="0"/>
        <v>1181348.6830180483</v>
      </c>
      <c r="H9" s="35">
        <f t="shared" si="0"/>
        <v>1424647.31785936</v>
      </c>
    </row>
    <row r="11" spans="1:8">
      <c r="A11" s="5" t="s">
        <v>635</v>
      </c>
      <c r="C11" s="6">
        <f>-('06_Investment_Funding'!B12+'06_Investment_Funding'!B13)</f>
        <v>-2281500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>
      <c r="A12" s="16" t="s">
        <v>636</v>
      </c>
      <c r="C12" s="35">
        <f t="shared" ref="C12:H12" si="1">C11</f>
        <v>-2281500</v>
      </c>
      <c r="D12" s="35">
        <f t="shared" si="1"/>
        <v>0</v>
      </c>
      <c r="E12" s="35">
        <f t="shared" si="1"/>
        <v>0</v>
      </c>
      <c r="F12" s="35">
        <f t="shared" si="1"/>
        <v>0</v>
      </c>
      <c r="G12" s="35">
        <f t="shared" si="1"/>
        <v>0</v>
      </c>
      <c r="H12" s="35">
        <f t="shared" si="1"/>
        <v>0</v>
      </c>
    </row>
    <row r="14" spans="1:8">
      <c r="A14" s="5" t="s">
        <v>601</v>
      </c>
      <c r="C14" s="6">
        <f>'10_Debt_Schedule'!C7</f>
        <v>1464765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</row>
    <row r="15" spans="1:8">
      <c r="A15" s="5" t="s">
        <v>637</v>
      </c>
      <c r="C15" s="6">
        <f>'06_Investment_Funding'!B20</f>
        <v>1464765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>
      <c r="A16" s="5" t="s">
        <v>602</v>
      </c>
      <c r="C16" s="12">
        <v>0</v>
      </c>
      <c r="D16" s="6">
        <v>-292953</v>
      </c>
      <c r="E16" s="6">
        <v>-292953</v>
      </c>
      <c r="F16" s="6">
        <v>-292953</v>
      </c>
      <c r="G16" s="6">
        <v>-292953</v>
      </c>
      <c r="H16" s="6">
        <v>-292953</v>
      </c>
    </row>
    <row r="17" spans="1:8">
      <c r="A17" s="16" t="s">
        <v>638</v>
      </c>
      <c r="C17" s="35">
        <f t="shared" ref="C17:H17" si="2">SUM(C14:C16)</f>
        <v>2929530</v>
      </c>
      <c r="D17" s="35">
        <f t="shared" si="2"/>
        <v>-292953</v>
      </c>
      <c r="E17" s="35">
        <f t="shared" si="2"/>
        <v>-292953</v>
      </c>
      <c r="F17" s="35">
        <f t="shared" si="2"/>
        <v>-292953</v>
      </c>
      <c r="G17" s="35">
        <f t="shared" si="2"/>
        <v>-292953</v>
      </c>
      <c r="H17" s="35">
        <f t="shared" si="2"/>
        <v>-292953</v>
      </c>
    </row>
    <row r="19" spans="1:8">
      <c r="A19" s="16" t="s">
        <v>639</v>
      </c>
      <c r="C19" s="35">
        <f t="shared" ref="C19:H19" si="3">C9+C12+C17</f>
        <v>648030</v>
      </c>
      <c r="D19" s="35">
        <f t="shared" si="3"/>
        <v>-377590.86986301374</v>
      </c>
      <c r="E19" s="35">
        <f t="shared" si="3"/>
        <v>135774.57217561646</v>
      </c>
      <c r="F19" s="35">
        <f t="shared" si="3"/>
        <v>576682.73632843536</v>
      </c>
      <c r="G19" s="35">
        <f t="shared" si="3"/>
        <v>888395.68301804829</v>
      </c>
      <c r="H19" s="35">
        <f t="shared" si="3"/>
        <v>1131694.31785936</v>
      </c>
    </row>
    <row r="20" spans="1:8">
      <c r="A20" s="5" t="s">
        <v>640</v>
      </c>
      <c r="C20" s="12">
        <v>0</v>
      </c>
      <c r="D20" s="12">
        <f>C21</f>
        <v>648030</v>
      </c>
      <c r="E20" s="12">
        <f>D21</f>
        <v>270439.13013698626</v>
      </c>
      <c r="F20" s="12">
        <f>E21</f>
        <v>406213.70231260272</v>
      </c>
      <c r="G20" s="12">
        <f>F21</f>
        <v>982896.43864103802</v>
      </c>
      <c r="H20" s="12">
        <f>G21</f>
        <v>1871292.1216590863</v>
      </c>
    </row>
    <row r="21" spans="1:8">
      <c r="A21" s="16" t="s">
        <v>641</v>
      </c>
      <c r="C21" s="36">
        <f t="shared" ref="C21:H21" si="4">C20+C19</f>
        <v>648030</v>
      </c>
      <c r="D21" s="36">
        <f t="shared" si="4"/>
        <v>270439.13013698626</v>
      </c>
      <c r="E21" s="36">
        <f t="shared" si="4"/>
        <v>406213.70231260272</v>
      </c>
      <c r="F21" s="36">
        <f t="shared" si="4"/>
        <v>982896.43864103802</v>
      </c>
      <c r="G21" s="36">
        <f t="shared" si="4"/>
        <v>1871292.1216590863</v>
      </c>
      <c r="H21" s="36">
        <f t="shared" si="4"/>
        <v>3002986.4395184461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5" sqref="A5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642</v>
      </c>
    </row>
    <row r="2" spans="1:8" s="20" customFormat="1">
      <c r="A2" s="19" t="s">
        <v>643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 s="20" customFormat="1">
      <c r="A5" s="21" t="s">
        <v>503</v>
      </c>
      <c r="C5" s="22">
        <v>0</v>
      </c>
      <c r="D5" s="22">
        <v>1</v>
      </c>
      <c r="E5" s="22">
        <v>2</v>
      </c>
      <c r="F5" s="22">
        <v>3</v>
      </c>
      <c r="G5" s="22">
        <v>4</v>
      </c>
      <c r="H5" s="22">
        <v>5</v>
      </c>
    </row>
    <row r="6" spans="1:8">
      <c r="A6" s="5" t="s">
        <v>644</v>
      </c>
      <c r="C6" s="6">
        <f>'09_Assets_Depreciation'!C27</f>
        <v>2079000</v>
      </c>
      <c r="D6" s="6">
        <f>'09_Assets_Depreciation'!D27</f>
        <v>1745450</v>
      </c>
      <c r="E6" s="6">
        <f>'09_Assets_Depreciation'!E27</f>
        <v>1411900</v>
      </c>
      <c r="F6" s="6">
        <f>'09_Assets_Depreciation'!F27</f>
        <v>1078350</v>
      </c>
      <c r="G6" s="6">
        <f>'09_Assets_Depreciation'!G27</f>
        <v>744800</v>
      </c>
      <c r="H6" s="6">
        <f>'09_Assets_Depreciation'!H27</f>
        <v>431250</v>
      </c>
    </row>
    <row r="7" spans="1:8">
      <c r="A7" s="5" t="s">
        <v>524</v>
      </c>
      <c r="C7" s="6">
        <f>'06_Investment_Funding'!B13</f>
        <v>202500</v>
      </c>
      <c r="D7" s="6">
        <f>'06_Investment_Funding'!B13</f>
        <v>202500</v>
      </c>
      <c r="E7" s="6">
        <f>'06_Investment_Funding'!B13</f>
        <v>202500</v>
      </c>
      <c r="F7" s="6">
        <f>'06_Investment_Funding'!B13</f>
        <v>202500</v>
      </c>
      <c r="G7" s="6">
        <f>'06_Investment_Funding'!B13</f>
        <v>202500</v>
      </c>
      <c r="H7" s="6">
        <f>'06_Investment_Funding'!B13</f>
        <v>202500</v>
      </c>
    </row>
    <row r="8" spans="1:8">
      <c r="A8" s="5" t="s">
        <v>613</v>
      </c>
      <c r="C8" s="6">
        <f>'11_Working_Capital'!C11</f>
        <v>0</v>
      </c>
      <c r="D8" s="6">
        <f>'11_Working_Capital'!D11</f>
        <v>21698.630136986303</v>
      </c>
      <c r="E8" s="6">
        <f>'11_Working_Capital'!E11</f>
        <v>27340.273972602739</v>
      </c>
      <c r="F8" s="6">
        <f>'11_Working_Capital'!F11</f>
        <v>33491.835616438359</v>
      </c>
      <c r="G8" s="6">
        <f>'11_Working_Capital'!G11</f>
        <v>38180.692602739735</v>
      </c>
      <c r="H8" s="6">
        <f>'11_Working_Capital'!H11</f>
        <v>42199.712876712329</v>
      </c>
    </row>
    <row r="9" spans="1:8">
      <c r="A9" s="5" t="s">
        <v>614</v>
      </c>
      <c r="C9" s="6">
        <f>'11_Working_Capital'!C12</f>
        <v>0</v>
      </c>
      <c r="D9" s="6">
        <f>'11_Working_Capital'!D12</f>
        <v>27340.273972602739</v>
      </c>
      <c r="E9" s="6">
        <f>'11_Working_Capital'!E12</f>
        <v>34448.745205479448</v>
      </c>
      <c r="F9" s="6">
        <f>'11_Working_Capital'!F12</f>
        <v>42199.712876712329</v>
      </c>
      <c r="G9" s="6">
        <f>'11_Working_Capital'!G12</f>
        <v>48107.672679452058</v>
      </c>
      <c r="H9" s="6">
        <f>'11_Working_Capital'!H12</f>
        <v>53171.63822465753</v>
      </c>
    </row>
    <row r="10" spans="1:8">
      <c r="A10" s="5" t="s">
        <v>645</v>
      </c>
      <c r="C10" s="6">
        <f>'13_Cash_Flow'!C21</f>
        <v>648030</v>
      </c>
      <c r="D10" s="6">
        <f>'13_Cash_Flow'!D21</f>
        <v>270439.13013698626</v>
      </c>
      <c r="E10" s="6">
        <f>'13_Cash_Flow'!E21</f>
        <v>406213.70231260272</v>
      </c>
      <c r="F10" s="6">
        <f>'13_Cash_Flow'!F21</f>
        <v>982896.43864103802</v>
      </c>
      <c r="G10" s="6">
        <f>'13_Cash_Flow'!G21</f>
        <v>1871292.1216590863</v>
      </c>
      <c r="H10" s="6">
        <f>'13_Cash_Flow'!H21</f>
        <v>3002986.4395184461</v>
      </c>
    </row>
    <row r="11" spans="1:8">
      <c r="A11" s="16" t="s">
        <v>646</v>
      </c>
      <c r="C11" s="35">
        <f t="shared" ref="C11:H11" si="0">SUM(C6:C10)</f>
        <v>2929530</v>
      </c>
      <c r="D11" s="35">
        <f t="shared" si="0"/>
        <v>2267428.0342465751</v>
      </c>
      <c r="E11" s="35">
        <f t="shared" si="0"/>
        <v>2082402.7214906849</v>
      </c>
      <c r="F11" s="35">
        <f t="shared" si="0"/>
        <v>2339437.9871341889</v>
      </c>
      <c r="G11" s="35">
        <f t="shared" si="0"/>
        <v>2904880.486941278</v>
      </c>
      <c r="H11" s="35">
        <f t="shared" si="0"/>
        <v>3732107.7906198157</v>
      </c>
    </row>
    <row r="13" spans="1:8">
      <c r="A13" s="5" t="s">
        <v>615</v>
      </c>
      <c r="C13" s="6">
        <f>'11_Working_Capital'!C13</f>
        <v>0</v>
      </c>
      <c r="D13" s="6">
        <f>'11_Working_Capital'!D13</f>
        <v>39057.534246575342</v>
      </c>
      <c r="E13" s="6">
        <f>'11_Working_Capital'!E13</f>
        <v>49212.493150684932</v>
      </c>
      <c r="F13" s="6">
        <f>'11_Working_Capital'!F13</f>
        <v>60285.304109589044</v>
      </c>
      <c r="G13" s="6">
        <f>'11_Working_Capital'!G13</f>
        <v>68725.24668493151</v>
      </c>
      <c r="H13" s="6">
        <f>'11_Working_Capital'!H13</f>
        <v>75959.483178082184</v>
      </c>
    </row>
    <row r="14" spans="1:8">
      <c r="A14" s="5" t="s">
        <v>647</v>
      </c>
      <c r="C14" s="6">
        <f>'10_Debt_Schedule'!C9</f>
        <v>1464765</v>
      </c>
      <c r="D14" s="6">
        <f>'10_Debt_Schedule'!D9</f>
        <v>1171812</v>
      </c>
      <c r="E14" s="6">
        <f>'10_Debt_Schedule'!E9</f>
        <v>878859</v>
      </c>
      <c r="F14" s="6">
        <f>'10_Debt_Schedule'!F9</f>
        <v>585906</v>
      </c>
      <c r="G14" s="6">
        <f>'10_Debt_Schedule'!G9</f>
        <v>292953</v>
      </c>
      <c r="H14" s="6">
        <f>'10_Debt_Schedule'!H9</f>
        <v>0</v>
      </c>
    </row>
    <row r="15" spans="1:8">
      <c r="A15" s="16" t="s">
        <v>648</v>
      </c>
      <c r="C15" s="35">
        <f t="shared" ref="C15:H15" si="1">C13+C14</f>
        <v>1464765</v>
      </c>
      <c r="D15" s="35">
        <f t="shared" si="1"/>
        <v>1210869.5342465753</v>
      </c>
      <c r="E15" s="35">
        <f t="shared" si="1"/>
        <v>928071.49315068498</v>
      </c>
      <c r="F15" s="35">
        <f t="shared" si="1"/>
        <v>646191.30410958908</v>
      </c>
      <c r="G15" s="35">
        <f t="shared" si="1"/>
        <v>361678.24668493151</v>
      </c>
      <c r="H15" s="35">
        <f t="shared" si="1"/>
        <v>75959.483178082184</v>
      </c>
    </row>
    <row r="17" spans="1:8">
      <c r="A17" s="5" t="s">
        <v>649</v>
      </c>
      <c r="C17" s="6">
        <f>'06_Investment_Funding'!B20</f>
        <v>1464765</v>
      </c>
      <c r="D17" s="6">
        <f>'06_Investment_Funding'!B20</f>
        <v>1464765</v>
      </c>
      <c r="E17" s="6">
        <f>'06_Investment_Funding'!B20</f>
        <v>1464765</v>
      </c>
      <c r="F17" s="6">
        <f>'06_Investment_Funding'!B20</f>
        <v>1464765</v>
      </c>
      <c r="G17" s="6">
        <f>'06_Investment_Funding'!B20</f>
        <v>1464765</v>
      </c>
      <c r="H17" s="6">
        <f>'06_Investment_Funding'!B20</f>
        <v>1464765</v>
      </c>
    </row>
    <row r="18" spans="1:8">
      <c r="A18" s="5" t="s">
        <v>650</v>
      </c>
      <c r="C18" s="12">
        <v>0</v>
      </c>
      <c r="D18" s="6">
        <f>C18+'12_Income_Statement'!D16</f>
        <v>-408206.5</v>
      </c>
      <c r="E18" s="6">
        <f>D18+'12_Income_Statement'!E16</f>
        <v>-310433.77165999997</v>
      </c>
      <c r="F18" s="6">
        <f>E18+'12_Income_Statement'!F16</f>
        <v>228481.6830245998</v>
      </c>
      <c r="G18" s="6">
        <f>F18+'12_Income_Statement'!G16</f>
        <v>1078437.2402563468</v>
      </c>
      <c r="H18" s="6">
        <f>G18+'12_Income_Statement'!H16</f>
        <v>2191383.3074417342</v>
      </c>
    </row>
    <row r="19" spans="1:8">
      <c r="A19" s="16" t="s">
        <v>651</v>
      </c>
      <c r="C19" s="35">
        <f t="shared" ref="C19:H19" si="2">C17+C18</f>
        <v>1464765</v>
      </c>
      <c r="D19" s="35">
        <f t="shared" si="2"/>
        <v>1056558.5</v>
      </c>
      <c r="E19" s="35">
        <f t="shared" si="2"/>
        <v>1154331.2283399999</v>
      </c>
      <c r="F19" s="35">
        <f t="shared" si="2"/>
        <v>1693246.6830245997</v>
      </c>
      <c r="G19" s="35">
        <f t="shared" si="2"/>
        <v>2543202.2402563468</v>
      </c>
      <c r="H19" s="35">
        <f t="shared" si="2"/>
        <v>3656148.3074417342</v>
      </c>
    </row>
    <row r="20" spans="1:8">
      <c r="A20" s="16" t="s">
        <v>652</v>
      </c>
      <c r="C20" s="35">
        <f t="shared" ref="C20:H20" si="3">C15+C19</f>
        <v>2929530</v>
      </c>
      <c r="D20" s="35">
        <f t="shared" si="3"/>
        <v>2267428.0342465751</v>
      </c>
      <c r="E20" s="35">
        <f t="shared" si="3"/>
        <v>2082402.7214906849</v>
      </c>
      <c r="F20" s="35">
        <f t="shared" si="3"/>
        <v>2339437.9871341889</v>
      </c>
      <c r="G20" s="35">
        <f t="shared" si="3"/>
        <v>2904880.4869412784</v>
      </c>
      <c r="H20" s="35">
        <f t="shared" si="3"/>
        <v>3732107.7906198166</v>
      </c>
    </row>
    <row r="22" spans="1:8">
      <c r="A22" s="16" t="s">
        <v>653</v>
      </c>
      <c r="C22" s="37">
        <f t="shared" ref="C22:H22" si="4">ROUND(C11-C20,2)</f>
        <v>0</v>
      </c>
      <c r="D22" s="37">
        <f t="shared" si="4"/>
        <v>0</v>
      </c>
      <c r="E22" s="37">
        <f t="shared" si="4"/>
        <v>0</v>
      </c>
      <c r="F22" s="37">
        <f t="shared" si="4"/>
        <v>0</v>
      </c>
      <c r="G22" s="37">
        <f t="shared" si="4"/>
        <v>0</v>
      </c>
      <c r="H22" s="37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8" sqref="C18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654</v>
      </c>
    </row>
    <row r="2" spans="1:8" s="20" customFormat="1">
      <c r="A2" s="19" t="s">
        <v>655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>
      <c r="A5" s="32" t="s">
        <v>503</v>
      </c>
      <c r="C5" s="33">
        <v>0</v>
      </c>
      <c r="D5" s="33">
        <v>1</v>
      </c>
      <c r="E5" s="33">
        <v>2</v>
      </c>
      <c r="F5" s="33">
        <v>3</v>
      </c>
      <c r="G5" s="33">
        <v>4</v>
      </c>
      <c r="H5" s="33">
        <v>5</v>
      </c>
    </row>
    <row r="6" spans="1:8">
      <c r="A6" s="5" t="s">
        <v>656</v>
      </c>
      <c r="D6" s="6">
        <f>'12_Income_Statement'!D12</f>
        <v>-261730</v>
      </c>
      <c r="E6" s="6">
        <f>'12_Income_Statement'!E12</f>
        <v>247841</v>
      </c>
      <c r="F6" s="6">
        <f>'12_Income_Statement'!F12</f>
        <v>808072.26199999964</v>
      </c>
      <c r="G6" s="6">
        <f>'12_Income_Statement'!G12</f>
        <v>1194439.2666200013</v>
      </c>
      <c r="H6" s="6">
        <f>'12_Income_Statement'!H12</f>
        <v>1516594.6013301983</v>
      </c>
    </row>
    <row r="7" spans="1:8">
      <c r="A7" s="5" t="s">
        <v>657</v>
      </c>
      <c r="D7" s="6">
        <f>MAX(0,D6)*'04_Assumptions'!$C$40</f>
        <v>0</v>
      </c>
      <c r="E7" s="6">
        <f>MAX(0,E6)*'04_Assumptions'!$C$40</f>
        <v>62381.579699999995</v>
      </c>
      <c r="F7" s="6">
        <f>MAX(0,F6)*'04_Assumptions'!$C$40</f>
        <v>203391.78834539989</v>
      </c>
      <c r="G7" s="6">
        <f>MAX(0,G6)*'04_Assumptions'!$C$40</f>
        <v>300640.36340825428</v>
      </c>
      <c r="H7" s="6">
        <f>MAX(0,H6)*'04_Assumptions'!$C$40</f>
        <v>381726.86115481087</v>
      </c>
    </row>
    <row r="8" spans="1:8">
      <c r="A8" s="16" t="s">
        <v>658</v>
      </c>
      <c r="C8" s="34"/>
      <c r="D8" s="35">
        <f>D6-D7</f>
        <v>-261730</v>
      </c>
      <c r="E8" s="35">
        <f>E6-E7</f>
        <v>185459.4203</v>
      </c>
      <c r="F8" s="35">
        <f>F6-F7</f>
        <v>604680.47365459974</v>
      </c>
      <c r="G8" s="35">
        <f>G6-G7</f>
        <v>893798.90321174706</v>
      </c>
      <c r="H8" s="35">
        <f>H6-H7</f>
        <v>1134867.7401753874</v>
      </c>
    </row>
    <row r="9" spans="1:8">
      <c r="A9" s="5" t="s">
        <v>659</v>
      </c>
      <c r="D9" s="6">
        <f>'12_Income_Statement'!D11</f>
        <v>333550</v>
      </c>
      <c r="E9" s="6">
        <f>'12_Income_Statement'!E11</f>
        <v>333550</v>
      </c>
      <c r="F9" s="6">
        <f>'12_Income_Statement'!F11</f>
        <v>333550</v>
      </c>
      <c r="G9" s="6">
        <f>'12_Income_Statement'!G11</f>
        <v>333550</v>
      </c>
      <c r="H9" s="6">
        <f>'12_Income_Statement'!H11</f>
        <v>313550</v>
      </c>
    </row>
    <row r="10" spans="1:8">
      <c r="A10" s="5" t="s">
        <v>660</v>
      </c>
      <c r="C10" s="6">
        <v>-2079000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</row>
    <row r="11" spans="1:8">
      <c r="A11" s="5" t="s">
        <v>661</v>
      </c>
      <c r="C11" s="6">
        <v>-202500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>
      <c r="A12" s="5" t="s">
        <v>662</v>
      </c>
      <c r="C12" s="6">
        <v>-648030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>
      <c r="A13" s="5" t="s">
        <v>663</v>
      </c>
      <c r="D13" s="6">
        <v>-9981.3698630137005</v>
      </c>
      <c r="E13" s="6">
        <v>-2595.1561643835598</v>
      </c>
      <c r="F13" s="6">
        <v>-2829.7183561643801</v>
      </c>
      <c r="G13" s="6">
        <v>-2156.8742136986498</v>
      </c>
      <c r="H13" s="6">
        <v>-1848.74932602739</v>
      </c>
    </row>
    <row r="14" spans="1:8">
      <c r="A14" s="5" t="s">
        <v>664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6">
        <f>'04_Assumptions'!$C$66*'09_Assets_Depreciation'!H28-'04_Assumptions'!$C$40*MAX(0,'04_Assumptions'!$C$66*'09_Assets_Depreciation'!H28-'09_Assets_Depreciation'!H28)</f>
        <v>107812.5</v>
      </c>
    </row>
    <row r="15" spans="1:8">
      <c r="A15" s="5" t="s">
        <v>665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6">
        <f>'06_Investment_Funding'!B14</f>
        <v>648030</v>
      </c>
    </row>
    <row r="16" spans="1:8">
      <c r="A16" s="5" t="s">
        <v>666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6">
        <f>'06_Investment_Funding'!B13</f>
        <v>202500</v>
      </c>
    </row>
    <row r="17" spans="1:8">
      <c r="A17" s="16" t="s">
        <v>667</v>
      </c>
      <c r="C17" s="36">
        <f t="shared" ref="C17:H17" si="0">C8+C9+SUM(C10:C16)</f>
        <v>-2929530</v>
      </c>
      <c r="D17" s="36">
        <f t="shared" si="0"/>
        <v>61838.630136986299</v>
      </c>
      <c r="E17" s="36">
        <f t="shared" si="0"/>
        <v>516414.26413561642</v>
      </c>
      <c r="F17" s="36">
        <f t="shared" si="0"/>
        <v>935400.75529843534</v>
      </c>
      <c r="G17" s="36">
        <f t="shared" si="0"/>
        <v>1225192.0289980485</v>
      </c>
      <c r="H17" s="36">
        <f t="shared" si="0"/>
        <v>2404911.4908493599</v>
      </c>
    </row>
    <row r="18" spans="1:8">
      <c r="A18" s="16" t="s">
        <v>668</v>
      </c>
      <c r="C18" s="35">
        <f>C17</f>
        <v>-2929530</v>
      </c>
      <c r="D18" s="35">
        <f>C18+D17</f>
        <v>-2867691.3698630137</v>
      </c>
      <c r="E18" s="35">
        <f>D18+E17</f>
        <v>-2351277.1057273974</v>
      </c>
      <c r="F18" s="35">
        <f>E18+F17</f>
        <v>-1415876.3504289621</v>
      </c>
      <c r="G18" s="35">
        <f>F18+G17</f>
        <v>-190684.32143091364</v>
      </c>
      <c r="H18" s="35">
        <f>G18+H17</f>
        <v>2214227.1694184463</v>
      </c>
    </row>
    <row r="20" spans="1:8">
      <c r="A20" s="18" t="s">
        <v>669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8" sqref="A18"/>
    </sheetView>
  </sheetViews>
  <sheetFormatPr defaultColWidth="8.6640625" defaultRowHeight="13.8"/>
  <cols>
    <col min="1" max="1" width="4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8" ht="17.399999999999999">
      <c r="A1" s="1" t="s">
        <v>670</v>
      </c>
    </row>
    <row r="2" spans="1:8" s="20" customFormat="1">
      <c r="A2" s="19" t="s">
        <v>671</v>
      </c>
    </row>
    <row r="4" spans="1:8">
      <c r="A4" s="4" t="s">
        <v>501</v>
      </c>
      <c r="B4" s="4" t="s">
        <v>502</v>
      </c>
      <c r="C4" s="4" t="s">
        <v>406</v>
      </c>
      <c r="D4" s="4" t="s">
        <v>276</v>
      </c>
      <c r="E4" s="4" t="s">
        <v>495</v>
      </c>
      <c r="F4" s="4" t="s">
        <v>496</v>
      </c>
      <c r="G4" s="4" t="s">
        <v>497</v>
      </c>
      <c r="H4" s="4" t="s">
        <v>465</v>
      </c>
    </row>
    <row r="5" spans="1:8" s="20" customFormat="1">
      <c r="A5" s="21" t="s">
        <v>503</v>
      </c>
      <c r="C5" s="22">
        <v>0</v>
      </c>
      <c r="D5" s="22">
        <v>1</v>
      </c>
      <c r="E5" s="22">
        <v>2</v>
      </c>
      <c r="F5" s="22">
        <v>3</v>
      </c>
      <c r="G5" s="22">
        <v>4</v>
      </c>
      <c r="H5" s="22">
        <v>5</v>
      </c>
    </row>
    <row r="6" spans="1:8">
      <c r="A6" s="16" t="s">
        <v>672</v>
      </c>
      <c r="C6" s="23">
        <f>'04_Assumptions'!$C$74</f>
        <v>0.13291500000000001</v>
      </c>
    </row>
    <row r="8" spans="1:8">
      <c r="A8" s="16" t="s">
        <v>673</v>
      </c>
      <c r="C8" s="24">
        <f>'15_Project_FCF'!C17</f>
        <v>-2929530</v>
      </c>
      <c r="D8" s="24">
        <f>'15_Project_FCF'!D17</f>
        <v>61838.630136986299</v>
      </c>
      <c r="E8" s="24">
        <f>'15_Project_FCF'!E17</f>
        <v>516414.26413561642</v>
      </c>
      <c r="F8" s="24">
        <f>'15_Project_FCF'!F17</f>
        <v>935400.75529843534</v>
      </c>
      <c r="G8" s="24">
        <f>'15_Project_FCF'!G17</f>
        <v>1225192.0289980485</v>
      </c>
      <c r="H8" s="24">
        <f>'15_Project_FCF'!H17</f>
        <v>2404911.4908493599</v>
      </c>
    </row>
    <row r="9" spans="1:8">
      <c r="A9" s="5" t="s">
        <v>668</v>
      </c>
      <c r="C9" s="12">
        <f>C8</f>
        <v>-2929530</v>
      </c>
      <c r="D9" s="12">
        <f>C9+D8</f>
        <v>-2867691.3698630137</v>
      </c>
      <c r="E9" s="12">
        <f>D9+E8</f>
        <v>-2351277.1057273974</v>
      </c>
      <c r="F9" s="12">
        <f>E9+F8</f>
        <v>-1415876.3504289621</v>
      </c>
      <c r="G9" s="12">
        <f>F9+G8</f>
        <v>-190684.32143091364</v>
      </c>
      <c r="H9" s="12">
        <f>G9+H8</f>
        <v>2214227.1694184463</v>
      </c>
    </row>
    <row r="10" spans="1:8">
      <c r="A10" s="5" t="s">
        <v>674</v>
      </c>
      <c r="C10" s="25">
        <f t="shared" ref="C10:H10" si="0">1/(1+$C$6)^C$5</f>
        <v>1</v>
      </c>
      <c r="D10" s="25">
        <f t="shared" si="0"/>
        <v>0.88267875348106428</v>
      </c>
      <c r="E10" s="25">
        <f t="shared" si="0"/>
        <v>0.77912178184688541</v>
      </c>
      <c r="F10" s="25">
        <f t="shared" si="0"/>
        <v>0.68771424321055452</v>
      </c>
      <c r="G10" s="25">
        <f t="shared" si="0"/>
        <v>0.60703075094826575</v>
      </c>
      <c r="H10" s="25">
        <f t="shared" si="0"/>
        <v>0.53581314657168955</v>
      </c>
    </row>
    <row r="11" spans="1:8">
      <c r="A11" s="5" t="s">
        <v>675</v>
      </c>
      <c r="C11" s="12">
        <f t="shared" ref="C11:H11" si="1">C8*C10</f>
        <v>-2929530</v>
      </c>
      <c r="D11" s="12">
        <f t="shared" si="1"/>
        <v>54583.644966291642</v>
      </c>
      <c r="E11" s="12">
        <f t="shared" si="1"/>
        <v>402349.60164448962</v>
      </c>
      <c r="F11" s="12">
        <f t="shared" si="1"/>
        <v>643288.42252864456</v>
      </c>
      <c r="G11" s="12">
        <f t="shared" si="1"/>
        <v>743729.23741851479</v>
      </c>
      <c r="H11" s="12">
        <f t="shared" si="1"/>
        <v>1288583.1931384085</v>
      </c>
    </row>
    <row r="12" spans="1:8">
      <c r="A12" s="5" t="s">
        <v>676</v>
      </c>
      <c r="D12" s="26">
        <f>IF(AND(C9&lt;0,D9&gt;=0),(D$5-1)+(-C9)/D8,0)</f>
        <v>0</v>
      </c>
      <c r="E12" s="26">
        <f>IF(AND(D9&lt;0,E9&gt;=0),(E$5-1)+(-D9)/E8,0)</f>
        <v>0</v>
      </c>
      <c r="F12" s="26">
        <f>IF(AND(E9&lt;0,F9&gt;=0),(F$5-1)+(-E9)/F8,0)</f>
        <v>0</v>
      </c>
      <c r="G12" s="26">
        <f>IF(AND(F9&lt;0,G9&gt;=0),(G$5-1)+(-F9)/G8,0)</f>
        <v>0</v>
      </c>
      <c r="H12" s="26">
        <f>IF(AND(G9&lt;0,H9&gt;=0),(H$5-1)+(-G9)/H8,0)</f>
        <v>4.0792895381624081</v>
      </c>
    </row>
    <row r="15" spans="1:8">
      <c r="A15" s="16" t="s">
        <v>677</v>
      </c>
      <c r="C15" s="27">
        <f>C8+NPV(C6,D8:H8)</f>
        <v>203004.09969634889</v>
      </c>
      <c r="D15" s="18" t="s">
        <v>678</v>
      </c>
    </row>
    <row r="16" spans="1:8">
      <c r="A16" s="5" t="s">
        <v>679</v>
      </c>
      <c r="C16" s="12">
        <f>SUM(C11:H11)</f>
        <v>203004.09969634889</v>
      </c>
    </row>
    <row r="17" spans="1:3">
      <c r="A17" s="16" t="s">
        <v>680</v>
      </c>
      <c r="C17" s="28">
        <f>IFERROR(IRR(C8:H8),"n/a")</f>
        <v>0.15261854563751551</v>
      </c>
    </row>
    <row r="18" spans="1:3">
      <c r="A18" s="5" t="s">
        <v>681</v>
      </c>
      <c r="C18" s="29">
        <f>IFERROR(C17-C6,"n/a")</f>
        <v>1.9703545637515502E-2</v>
      </c>
    </row>
    <row r="19" spans="1:3">
      <c r="A19" s="16" t="s">
        <v>682</v>
      </c>
      <c r="C19" s="30">
        <f>IF(SUM(D12:H12)=0,"&gt; 5 yrs",SUM(D12:H12))</f>
        <v>4.0792895381624081</v>
      </c>
    </row>
    <row r="20" spans="1:3">
      <c r="A20" s="5" t="s">
        <v>683</v>
      </c>
      <c r="C20" s="26">
        <f>1+C15/-C8</f>
        <v>1.0692957913714312</v>
      </c>
    </row>
    <row r="22" spans="1:3">
      <c r="A22" s="16" t="s">
        <v>684</v>
      </c>
      <c r="C22" s="31" t="str">
        <f>IF(AND(C15&gt;0,ISNUMBER(C17),C17&gt;C6),IF('18_Scenarios'!E12&gt;0,"Invest","Invest with Conditions"),"Do Not Invest")</f>
        <v>Invest with Conditions</v>
      </c>
    </row>
    <row r="23" spans="1:3">
      <c r="A23" s="18" t="s">
        <v>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8"/>
  <sheetViews>
    <sheetView showGridLines="0" workbookViewId="0">
      <selection activeCell="B15" sqref="B15"/>
    </sheetView>
  </sheetViews>
  <sheetFormatPr defaultColWidth="8.6640625" defaultRowHeight="13.8"/>
  <cols>
    <col min="1" max="1" width="52" style="2" customWidth="1"/>
    <col min="2" max="2" width="18" style="2" customWidth="1"/>
    <col min="3" max="7" width="15" style="2" customWidth="1"/>
    <col min="8" max="8" width="40" style="2" customWidth="1"/>
    <col min="9" max="16384" width="8.6640625" style="2"/>
  </cols>
  <sheetData>
    <row r="1" spans="1:2" ht="17.399999999999999">
      <c r="A1" s="1" t="s">
        <v>686</v>
      </c>
    </row>
    <row r="2" spans="1:2">
      <c r="A2" s="3" t="s">
        <v>687</v>
      </c>
    </row>
    <row r="4" spans="1:2">
      <c r="A4" s="4" t="s">
        <v>688</v>
      </c>
      <c r="B4" s="4" t="s">
        <v>255</v>
      </c>
    </row>
    <row r="5" spans="1:2">
      <c r="A5" s="5" t="s">
        <v>689</v>
      </c>
      <c r="B5" s="6">
        <f>'05_Operating_Drivers'!D10</f>
        <v>160</v>
      </c>
    </row>
    <row r="6" spans="1:2">
      <c r="A6" s="5" t="s">
        <v>690</v>
      </c>
      <c r="B6" s="7">
        <f>'08_Cost_Model'!D10</f>
        <v>57.6</v>
      </c>
    </row>
    <row r="7" spans="1:2">
      <c r="A7" s="5" t="s">
        <v>691</v>
      </c>
      <c r="B7" s="8">
        <f>B5-B6</f>
        <v>102.4</v>
      </c>
    </row>
    <row r="8" spans="1:2">
      <c r="A8" s="5" t="s">
        <v>692</v>
      </c>
      <c r="B8" s="9">
        <f>B7/B5</f>
        <v>0.64</v>
      </c>
    </row>
    <row r="9" spans="1:2">
      <c r="A9" s="5" t="s">
        <v>693</v>
      </c>
      <c r="B9" s="6">
        <f>'08_Cost_Model'!D21</f>
        <v>2462580</v>
      </c>
    </row>
    <row r="10" spans="1:2">
      <c r="A10" s="5" t="s">
        <v>694</v>
      </c>
      <c r="B10" s="10">
        <f>B9/B7</f>
        <v>24048.6328125</v>
      </c>
    </row>
    <row r="11" spans="1:2">
      <c r="A11" s="5" t="s">
        <v>695</v>
      </c>
      <c r="B11" s="11">
        <f>B10/'05_Operating_Drivers'!D8</f>
        <v>72.87464488636364</v>
      </c>
    </row>
    <row r="12" spans="1:2">
      <c r="A12" s="5" t="s">
        <v>696</v>
      </c>
      <c r="B12" s="12">
        <f>B10*B5</f>
        <v>3847781.25</v>
      </c>
    </row>
    <row r="13" spans="1:2">
      <c r="A13" s="5" t="s">
        <v>697</v>
      </c>
      <c r="B13" s="11">
        <f>'05_Operating_Drivers'!D11</f>
        <v>24750</v>
      </c>
    </row>
    <row r="14" spans="1:2">
      <c r="A14" s="5" t="s">
        <v>698</v>
      </c>
      <c r="B14" s="13">
        <f>B13-B10</f>
        <v>701.3671875</v>
      </c>
    </row>
    <row r="15" spans="1:2">
      <c r="A15" s="5" t="s">
        <v>699</v>
      </c>
      <c r="B15" s="14">
        <f>B14/B13</f>
        <v>2.8338068181818183E-2</v>
      </c>
    </row>
    <row r="16" spans="1:2">
      <c r="A16" s="5" t="s">
        <v>700</v>
      </c>
      <c r="B16" s="15">
        <f>B10/('05_Operating_Drivers'!D6*'05_Operating_Drivers'!D8)</f>
        <v>2.4291548295454546</v>
      </c>
    </row>
    <row r="17" spans="1:8">
      <c r="A17" s="16" t="s">
        <v>701</v>
      </c>
      <c r="B17" s="5" t="str">
        <f>IF(B15&gt;=0.25,"Comfortably above break-even",IF(B15&gt;=0,"Only marginally above break-even in Year 1","Below break-even in Year 1 (expected while the café ramps up)"))</f>
        <v>Only marginally above break-even in Year 1</v>
      </c>
    </row>
    <row r="19" spans="1:8">
      <c r="A19" s="4" t="s">
        <v>702</v>
      </c>
      <c r="B19" s="4"/>
      <c r="D19" s="4" t="s">
        <v>276</v>
      </c>
      <c r="E19" s="4" t="s">
        <v>495</v>
      </c>
      <c r="F19" s="4" t="s">
        <v>496</v>
      </c>
      <c r="G19" s="4" t="s">
        <v>497</v>
      </c>
      <c r="H19" s="4" t="s">
        <v>465</v>
      </c>
    </row>
    <row r="20" spans="1:8">
      <c r="A20" s="5" t="s">
        <v>703</v>
      </c>
      <c r="D20" s="6">
        <f>'05_Operating_Drivers'!D10</f>
        <v>160</v>
      </c>
      <c r="E20" s="6">
        <f>'05_Operating_Drivers'!E10</f>
        <v>168</v>
      </c>
      <c r="F20" s="6">
        <f>'05_Operating_Drivers'!F10</f>
        <v>176.4</v>
      </c>
      <c r="G20" s="6">
        <f>'05_Operating_Drivers'!G10</f>
        <v>185.22000000000003</v>
      </c>
      <c r="H20" s="6">
        <f>'05_Operating_Drivers'!H10</f>
        <v>194.48099999999999</v>
      </c>
    </row>
    <row r="21" spans="1:8">
      <c r="A21" s="5" t="s">
        <v>554</v>
      </c>
      <c r="D21" s="7">
        <f>'08_Cost_Model'!D10</f>
        <v>57.6</v>
      </c>
      <c r="E21" s="7">
        <f>'08_Cost_Model'!E10</f>
        <v>60.48</v>
      </c>
      <c r="F21" s="7">
        <f>'08_Cost_Model'!F10</f>
        <v>63.504000000000005</v>
      </c>
      <c r="G21" s="7">
        <f>'08_Cost_Model'!G10</f>
        <v>66.679200000000009</v>
      </c>
      <c r="H21" s="7">
        <f>'08_Cost_Model'!H10</f>
        <v>70.013159999999999</v>
      </c>
    </row>
    <row r="22" spans="1:8">
      <c r="A22" s="5" t="s">
        <v>622</v>
      </c>
      <c r="D22" s="6">
        <f>'08_Cost_Model'!D21</f>
        <v>2462580</v>
      </c>
      <c r="E22" s="6">
        <f>'08_Cost_Model'!E21</f>
        <v>2611953</v>
      </c>
      <c r="F22" s="6">
        <f>'08_Cost_Model'!F21</f>
        <v>2770224.1380000003</v>
      </c>
      <c r="G22" s="6">
        <f>'08_Cost_Model'!G21</f>
        <v>2931515.6293800003</v>
      </c>
      <c r="H22" s="6">
        <f>'08_Cost_Model'!H21</f>
        <v>3098781.8626698013</v>
      </c>
    </row>
    <row r="23" spans="1:8">
      <c r="A23" s="16" t="s">
        <v>695</v>
      </c>
      <c r="D23" s="17">
        <f>D22/(D20-D21)/'05_Operating_Drivers'!D8</f>
        <v>72.87464488636364</v>
      </c>
      <c r="E23" s="17">
        <f>E22/(E20-E21)/'05_Operating_Drivers'!E8</f>
        <v>73.614295860389603</v>
      </c>
      <c r="F23" s="17">
        <f>F22/(F20-F21)/'05_Operating_Drivers'!F8</f>
        <v>74.357095025510205</v>
      </c>
      <c r="G23" s="17">
        <f>G22/(G20-G21)/'05_Operating_Drivers'!G8</f>
        <v>74.939436000861377</v>
      </c>
      <c r="H23" s="17">
        <f>H22/(H20-H21)/'05_Operating_Drivers'!H8</f>
        <v>75.443167236583918</v>
      </c>
    </row>
    <row r="24" spans="1:8">
      <c r="A24" s="5" t="s">
        <v>704</v>
      </c>
      <c r="D24" s="11">
        <f>'05_Operating_Drivers'!D12</f>
        <v>75</v>
      </c>
      <c r="E24" s="11">
        <f>'05_Operating_Drivers'!E12</f>
        <v>90</v>
      </c>
      <c r="F24" s="11">
        <f>'05_Operating_Drivers'!F12</f>
        <v>105</v>
      </c>
      <c r="G24" s="11">
        <f>'05_Operating_Drivers'!G12</f>
        <v>114</v>
      </c>
      <c r="H24" s="11">
        <f>'05_Operating_Drivers'!H12</f>
        <v>120</v>
      </c>
    </row>
    <row r="25" spans="1:8">
      <c r="A25" s="16" t="s">
        <v>699</v>
      </c>
      <c r="D25" s="14">
        <f>(D24-D23)/D24</f>
        <v>2.8338068181818131E-2</v>
      </c>
      <c r="E25" s="14">
        <f>(E24-E23)/E24</f>
        <v>0.1820633793290044</v>
      </c>
      <c r="F25" s="14">
        <f>(F24-F23)/F24</f>
        <v>0.29183719023323612</v>
      </c>
      <c r="G25" s="14">
        <f>(G24-G23)/G24</f>
        <v>0.34263652630823355</v>
      </c>
      <c r="H25" s="14">
        <f>(H24-H23)/H24</f>
        <v>0.37130693969513401</v>
      </c>
    </row>
    <row r="27" spans="1:8">
      <c r="A27" s="18" t="s">
        <v>705</v>
      </c>
    </row>
    <row r="28" spans="1:8">
      <c r="A28" s="5" t="s">
        <v>706</v>
      </c>
      <c r="B28" s="11">
        <f>(B9+'12_Income_Statement'!D11+'12_Income_Statement'!D13)/B7/'05_Operating_Drivers'!D8</f>
        <v>87.079974550189391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79"/>
  <sheetViews>
    <sheetView showGridLines="0" topLeftCell="A46" workbookViewId="0">
      <selection activeCell="B1" sqref="B1"/>
    </sheetView>
  </sheetViews>
  <sheetFormatPr defaultColWidth="8.6640625" defaultRowHeight="13.8"/>
  <cols>
    <col min="1" max="1" width="34" style="2" customWidth="1"/>
    <col min="2" max="2" width="16" style="2" customWidth="1"/>
    <col min="3" max="8" width="15" style="2" customWidth="1"/>
    <col min="9" max="9" width="60" style="2" customWidth="1"/>
    <col min="10" max="16384" width="8.6640625" style="2"/>
  </cols>
  <sheetData>
    <row r="1" spans="1:7" ht="17.399999999999999">
      <c r="A1" s="1" t="s">
        <v>707</v>
      </c>
    </row>
    <row r="2" spans="1:7">
      <c r="A2" s="3" t="s">
        <v>708</v>
      </c>
    </row>
    <row r="5" spans="1:7" ht="26.4">
      <c r="A5" s="4" t="s">
        <v>709</v>
      </c>
      <c r="B5" s="4" t="s">
        <v>710</v>
      </c>
      <c r="C5" s="4" t="s">
        <v>711</v>
      </c>
      <c r="D5" s="4" t="s">
        <v>712</v>
      </c>
      <c r="E5" s="4" t="s">
        <v>713</v>
      </c>
      <c r="F5" s="4" t="s">
        <v>714</v>
      </c>
    </row>
    <row r="6" spans="1:7">
      <c r="A6" s="16" t="s">
        <v>715</v>
      </c>
      <c r="B6" s="73">
        <v>-0.2</v>
      </c>
      <c r="C6" s="73">
        <v>-0.1</v>
      </c>
      <c r="D6" s="73">
        <v>0.1</v>
      </c>
      <c r="E6" s="73">
        <v>0.1</v>
      </c>
      <c r="F6" s="5" t="s">
        <v>716</v>
      </c>
    </row>
    <row r="7" spans="1:7">
      <c r="A7" s="16" t="s">
        <v>717</v>
      </c>
      <c r="B7" s="73">
        <v>0</v>
      </c>
      <c r="C7" s="73">
        <v>0</v>
      </c>
      <c r="D7" s="73">
        <v>0</v>
      </c>
      <c r="E7" s="73">
        <v>0</v>
      </c>
      <c r="F7" s="5" t="s">
        <v>718</v>
      </c>
    </row>
    <row r="8" spans="1:7">
      <c r="A8" s="16" t="s">
        <v>719</v>
      </c>
      <c r="B8" s="73">
        <v>0.2</v>
      </c>
      <c r="C8" s="73">
        <v>0.1</v>
      </c>
      <c r="D8" s="73">
        <v>-0.05</v>
      </c>
      <c r="E8" s="73">
        <v>-0.05</v>
      </c>
      <c r="F8" s="5" t="s">
        <v>720</v>
      </c>
    </row>
    <row r="11" spans="1:7">
      <c r="A11" s="4" t="s">
        <v>709</v>
      </c>
      <c r="B11" s="4" t="s">
        <v>721</v>
      </c>
      <c r="C11" s="4" t="s">
        <v>722</v>
      </c>
      <c r="D11" s="4" t="s">
        <v>723</v>
      </c>
      <c r="E11" s="4" t="s">
        <v>724</v>
      </c>
      <c r="F11" s="4" t="s">
        <v>725</v>
      </c>
      <c r="G11" s="4" t="s">
        <v>726</v>
      </c>
    </row>
    <row r="12" spans="1:7">
      <c r="A12" s="16" t="s">
        <v>715</v>
      </c>
      <c r="B12" s="12">
        <f>D23</f>
        <v>2851200</v>
      </c>
      <c r="C12" s="12">
        <f>H23</f>
        <v>5545042.2719999999</v>
      </c>
      <c r="D12" s="12">
        <f>H26</f>
        <v>-303436.37661678204</v>
      </c>
      <c r="E12" s="43">
        <f>C37</f>
        <v>-4892237.0726745948</v>
      </c>
      <c r="F12" s="9" t="str">
        <f>C38</f>
        <v>n/a</v>
      </c>
      <c r="G12" s="26" t="str">
        <f>C39</f>
        <v>&gt; 5 yrs</v>
      </c>
    </row>
    <row r="13" spans="1:7">
      <c r="A13" s="16" t="s">
        <v>717</v>
      </c>
      <c r="B13" s="12">
        <f>D43</f>
        <v>3960000</v>
      </c>
      <c r="C13" s="12">
        <f>H43</f>
        <v>7701447.5999999996</v>
      </c>
      <c r="D13" s="12">
        <f>H46</f>
        <v>1830144.6013301983</v>
      </c>
      <c r="E13" s="43">
        <f>C57</f>
        <v>203004.09969634889</v>
      </c>
      <c r="F13" s="9">
        <f>C58</f>
        <v>0.15261854563751551</v>
      </c>
      <c r="G13" s="26">
        <f>C59</f>
        <v>4.0792895381624081</v>
      </c>
    </row>
    <row r="14" spans="1:7">
      <c r="A14" s="16" t="s">
        <v>719</v>
      </c>
      <c r="B14" s="12">
        <f>D63</f>
        <v>5227200</v>
      </c>
      <c r="C14" s="12">
        <f>H63</f>
        <v>10165910.832</v>
      </c>
      <c r="D14" s="12">
        <f>H66</f>
        <v>4061393.9674236891</v>
      </c>
      <c r="E14" s="43">
        <f>C77</f>
        <v>4633870.3896933319</v>
      </c>
      <c r="F14" s="9">
        <f>C78</f>
        <v>0.53820595125489301</v>
      </c>
      <c r="G14" s="26">
        <f>C79</f>
        <v>2.1306725256527845</v>
      </c>
    </row>
    <row r="16" spans="1:7">
      <c r="A16" s="5" t="s">
        <v>727</v>
      </c>
      <c r="E16" s="15">
        <f>ROUND(E13-'16_Appraisal'!C15,2)</f>
        <v>0</v>
      </c>
    </row>
    <row r="17" spans="1:8">
      <c r="A17" s="16" t="s">
        <v>728</v>
      </c>
      <c r="B17" s="5" t="str">
        <f>IF(E12&lt;E13,"Pessimistic scenario: NPV falls by ₹"&amp;TEXT(E13-E12,"#,##0")&amp;" versus base","Check inputs")</f>
        <v>Pessimistic scenario: NPV falls by ₹5,095,241 versus base</v>
      </c>
    </row>
    <row r="18" spans="1:8">
      <c r="A18" s="18" t="s">
        <v>729</v>
      </c>
    </row>
    <row r="22" spans="1:8">
      <c r="A22" s="55" t="s">
        <v>730</v>
      </c>
      <c r="B22" s="74"/>
      <c r="C22" s="75" t="s">
        <v>406</v>
      </c>
      <c r="D22" s="75" t="s">
        <v>276</v>
      </c>
      <c r="E22" s="75" t="s">
        <v>495</v>
      </c>
      <c r="F22" s="75" t="s">
        <v>496</v>
      </c>
      <c r="G22" s="75" t="s">
        <v>497</v>
      </c>
      <c r="H22" s="75" t="s">
        <v>465</v>
      </c>
    </row>
    <row r="23" spans="1:8">
      <c r="A23" s="5" t="s">
        <v>608</v>
      </c>
      <c r="C23" s="12">
        <v>0</v>
      </c>
      <c r="D23" s="6">
        <f>'07_Revenue_Model'!D11*(1+$B$6)*(1+$C$6)</f>
        <v>2851200</v>
      </c>
      <c r="E23" s="6">
        <f>'07_Revenue_Model'!E11*(1+$B$6)*(1+$C$6)</f>
        <v>3592512</v>
      </c>
      <c r="F23" s="6">
        <f>'07_Revenue_Model'!F11*(1+$B$6)*(1+$C$6)</f>
        <v>4400827.2</v>
      </c>
      <c r="G23" s="6">
        <f>'07_Revenue_Model'!G11*(1+$B$6)*(1+$C$6)</f>
        <v>5016943.0080000013</v>
      </c>
      <c r="H23" s="6">
        <f>'07_Revenue_Model'!H11*(1+$B$6)*(1+$C$6)</f>
        <v>5545042.2719999999</v>
      </c>
    </row>
    <row r="24" spans="1:8">
      <c r="A24" s="5" t="s">
        <v>610</v>
      </c>
      <c r="C24" s="12">
        <v>0</v>
      </c>
      <c r="D24" s="6">
        <f>'08_Cost_Model'!D9*(1+$B$6)*(1+$D$6)</f>
        <v>1254528</v>
      </c>
      <c r="E24" s="6">
        <f>'08_Cost_Model'!E9*(1+$B$6)*(1+$D$6)</f>
        <v>1580705.2800000003</v>
      </c>
      <c r="F24" s="6">
        <f>'08_Cost_Model'!F9*(1+$B$6)*(1+$D$6)</f>
        <v>1936363.9680000003</v>
      </c>
      <c r="G24" s="6">
        <f>'08_Cost_Model'!G9*(1+$B$6)*(1+$D$6)</f>
        <v>2207454.9235200007</v>
      </c>
      <c r="H24" s="6">
        <f>'08_Cost_Model'!H9*(1+$B$6)*(1+$D$6)</f>
        <v>2439818.59968</v>
      </c>
    </row>
    <row r="25" spans="1:8">
      <c r="A25" s="5" t="s">
        <v>622</v>
      </c>
      <c r="C25" s="12">
        <v>0</v>
      </c>
      <c r="D25" s="6">
        <f>'08_Cost_Model'!D21*(1+$E$6)</f>
        <v>2708838</v>
      </c>
      <c r="E25" s="6">
        <f>'08_Cost_Model'!E21*(1+$E$6)</f>
        <v>2873148.3000000003</v>
      </c>
      <c r="F25" s="6">
        <f>'08_Cost_Model'!F21*(1+$E$6)</f>
        <v>3047246.5518000005</v>
      </c>
      <c r="G25" s="6">
        <f>'08_Cost_Model'!G21*(1+$E$6)</f>
        <v>3224667.1923180004</v>
      </c>
      <c r="H25" s="6">
        <f>'08_Cost_Model'!H21*(1+$E$6)</f>
        <v>3408660.0489367819</v>
      </c>
    </row>
    <row r="26" spans="1:8">
      <c r="A26" s="16" t="s">
        <v>623</v>
      </c>
      <c r="C26" s="12">
        <v>0</v>
      </c>
      <c r="D26" s="43">
        <f>D23-D24-D25</f>
        <v>-1112166</v>
      </c>
      <c r="E26" s="43">
        <f>E23-E24-E25</f>
        <v>-861341.58000000054</v>
      </c>
      <c r="F26" s="43">
        <f>F23-F24-F25</f>
        <v>-582783.31980000064</v>
      </c>
      <c r="G26" s="43">
        <f>G23-G24-G25</f>
        <v>-415179.10783799971</v>
      </c>
      <c r="H26" s="43">
        <f>H23-H24-H25</f>
        <v>-303436.37661678204</v>
      </c>
    </row>
    <row r="27" spans="1:8">
      <c r="A27" s="5" t="s">
        <v>731</v>
      </c>
      <c r="C27" s="12">
        <v>0</v>
      </c>
      <c r="D27" s="6">
        <f>'09_Assets_Depreciation'!D20</f>
        <v>333550</v>
      </c>
      <c r="E27" s="6">
        <f>'09_Assets_Depreciation'!E20</f>
        <v>333550</v>
      </c>
      <c r="F27" s="6">
        <f>'09_Assets_Depreciation'!F20</f>
        <v>333550</v>
      </c>
      <c r="G27" s="6">
        <f>'09_Assets_Depreciation'!G20</f>
        <v>333550</v>
      </c>
      <c r="H27" s="6">
        <f>'09_Assets_Depreciation'!H20</f>
        <v>313550</v>
      </c>
    </row>
    <row r="28" spans="1:8">
      <c r="A28" s="5" t="s">
        <v>625</v>
      </c>
      <c r="C28" s="12">
        <v>0</v>
      </c>
      <c r="D28" s="12">
        <f>D26-D27</f>
        <v>-1445716</v>
      </c>
      <c r="E28" s="12">
        <f>E26-E27</f>
        <v>-1194891.5800000005</v>
      </c>
      <c r="F28" s="12">
        <f>F26-F27</f>
        <v>-916333.31980000064</v>
      </c>
      <c r="G28" s="12">
        <f>G26-G27</f>
        <v>-748729.10783799971</v>
      </c>
      <c r="H28" s="12">
        <f>H26-H27</f>
        <v>-616986.37661678204</v>
      </c>
    </row>
    <row r="29" spans="1:8">
      <c r="A29" s="5" t="s">
        <v>657</v>
      </c>
      <c r="C29" s="12">
        <v>0</v>
      </c>
      <c r="D29" s="6">
        <f>MAX(0,D28)*'04_Assumptions'!$C$40</f>
        <v>0</v>
      </c>
      <c r="E29" s="6">
        <f>MAX(0,E28)*'04_Assumptions'!$C$40</f>
        <v>0</v>
      </c>
      <c r="F29" s="6">
        <f>MAX(0,F28)*'04_Assumptions'!$C$40</f>
        <v>0</v>
      </c>
      <c r="G29" s="6">
        <f>MAX(0,G28)*'04_Assumptions'!$C$40</f>
        <v>0</v>
      </c>
      <c r="H29" s="6">
        <f>MAX(0,H28)*'04_Assumptions'!$C$40</f>
        <v>0</v>
      </c>
    </row>
    <row r="30" spans="1:8">
      <c r="A30" s="5" t="s">
        <v>732</v>
      </c>
      <c r="C30" s="12">
        <v>0</v>
      </c>
      <c r="D30" s="12">
        <f>D28-D29</f>
        <v>-1445716</v>
      </c>
      <c r="E30" s="12">
        <f>E28-E29</f>
        <v>-1194891.5800000005</v>
      </c>
      <c r="F30" s="12">
        <f>F28-F29</f>
        <v>-916333.31980000064</v>
      </c>
      <c r="G30" s="12">
        <f>G28-G29</f>
        <v>-748729.10783799971</v>
      </c>
      <c r="H30" s="12">
        <f>H28-H29</f>
        <v>-616986.37661678204</v>
      </c>
    </row>
    <row r="31" spans="1:8">
      <c r="A31" s="5" t="s">
        <v>733</v>
      </c>
      <c r="C31" s="12">
        <v>0</v>
      </c>
      <c r="D31" s="6">
        <f>D23*'04_Assumptions'!$C$42/365+D24*'04_Assumptions'!$C$43/365-D24*'04_Assumptions'!$C$44/365</f>
        <v>5311.8246575342491</v>
      </c>
      <c r="E31" s="6">
        <f>E23*'04_Assumptions'!$C$42/365+E24*'04_Assumptions'!$C$43/365-E24*'04_Assumptions'!$C$44/365</f>
        <v>6692.8990684931487</v>
      </c>
      <c r="F31" s="6">
        <f>F23*'04_Assumptions'!$C$42/365+F24*'04_Assumptions'!$C$43/365-F24*'04_Assumptions'!$C$44/365</f>
        <v>8198.8013589041075</v>
      </c>
      <c r="G31" s="6">
        <f>G23*'04_Assumptions'!$C$42/365+G24*'04_Assumptions'!$C$43/365-G24*'04_Assumptions'!$C$44/365</f>
        <v>9346.6335491506834</v>
      </c>
      <c r="H31" s="6">
        <f>H23*'04_Assumptions'!$C$42/365+H24*'04_Assumptions'!$C$43/365-H24*'04_Assumptions'!$C$44/365</f>
        <v>10330.489712219191</v>
      </c>
    </row>
    <row r="32" spans="1:8">
      <c r="A32" s="5" t="s">
        <v>734</v>
      </c>
      <c r="C32" s="12">
        <v>0</v>
      </c>
      <c r="D32" s="12">
        <f>D31-C31</f>
        <v>5311.8246575342491</v>
      </c>
      <c r="E32" s="12">
        <f>E31-D31</f>
        <v>1381.0744109588995</v>
      </c>
      <c r="F32" s="12">
        <f>F31-E31</f>
        <v>1505.9022904109588</v>
      </c>
      <c r="G32" s="12">
        <f>G31-F31</f>
        <v>1147.8321902465759</v>
      </c>
      <c r="H32" s="12">
        <f>H31-G31</f>
        <v>983.85616306850716</v>
      </c>
    </row>
    <row r="33" spans="1:8">
      <c r="A33" s="5" t="s">
        <v>735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6">
        <f>'15_Project_FCF'!H14+'15_Project_FCF'!H15+'15_Project_FCF'!H16</f>
        <v>958342.5</v>
      </c>
    </row>
    <row r="34" spans="1:8">
      <c r="A34" s="16" t="s">
        <v>673</v>
      </c>
      <c r="C34" s="76">
        <f>'15_Project_FCF'!C17</f>
        <v>-2929530</v>
      </c>
      <c r="D34" s="43">
        <f>D30+D27-D32+D33</f>
        <v>-1117477.8246575342</v>
      </c>
      <c r="E34" s="43">
        <f>E30+E27-E32+E33</f>
        <v>-862722.65441095945</v>
      </c>
      <c r="F34" s="43">
        <f>F30+F27-F32+F33</f>
        <v>-584289.22209041158</v>
      </c>
      <c r="G34" s="43">
        <f>G30+G27-G32+G33</f>
        <v>-416326.94002824626</v>
      </c>
      <c r="H34" s="43">
        <f>H30+H27-H32+H33</f>
        <v>653922.26722014952</v>
      </c>
    </row>
    <row r="35" spans="1:8">
      <c r="A35" s="5" t="s">
        <v>736</v>
      </c>
      <c r="C35" s="12">
        <f>C34</f>
        <v>-2929530</v>
      </c>
      <c r="D35" s="12">
        <f>C35+D34</f>
        <v>-4047007.8246575342</v>
      </c>
      <c r="E35" s="12">
        <f>D35+E34</f>
        <v>-4909730.4790684935</v>
      </c>
      <c r="F35" s="12">
        <f>E35+F34</f>
        <v>-5494019.7011589054</v>
      </c>
      <c r="G35" s="12">
        <f>F35+G34</f>
        <v>-5910346.6411871519</v>
      </c>
      <c r="H35" s="12">
        <f>G35+H34</f>
        <v>-5256424.3739670021</v>
      </c>
    </row>
    <row r="36" spans="1:8">
      <c r="A36" s="5" t="s">
        <v>737</v>
      </c>
      <c r="D36" s="26">
        <f>IF(AND(C35&lt;0,D35&gt;=0),0+(-C35)/D34,0)</f>
        <v>0</v>
      </c>
      <c r="E36" s="26">
        <f>IF(AND(D35&lt;0,E35&gt;=0),1+(-D35)/E34,0)</f>
        <v>0</v>
      </c>
      <c r="F36" s="26">
        <f>IF(AND(E35&lt;0,F35&gt;=0),2+(-E35)/F34,0)</f>
        <v>0</v>
      </c>
      <c r="G36" s="26">
        <f>IF(AND(F35&lt;0,G35&gt;=0),3+(-F35)/G34,0)</f>
        <v>0</v>
      </c>
      <c r="H36" s="26">
        <f>IF(AND(G35&lt;0,H35&gt;=0),4+(-G35)/H34,0)</f>
        <v>0</v>
      </c>
    </row>
    <row r="37" spans="1:8">
      <c r="A37" s="16" t="s">
        <v>724</v>
      </c>
      <c r="C37" s="76">
        <f>C34+NPV('04_Assumptions'!$C$74,D34:H34)</f>
        <v>-4892237.0726745948</v>
      </c>
    </row>
    <row r="38" spans="1:8">
      <c r="A38" s="16" t="s">
        <v>725</v>
      </c>
      <c r="C38" s="77" t="str">
        <f>IFERROR(IRR(C34:H34),"n/a")</f>
        <v>n/a</v>
      </c>
    </row>
    <row r="39" spans="1:8">
      <c r="A39" s="16" t="s">
        <v>738</v>
      </c>
      <c r="C39" s="78" t="str">
        <f>IF(SUM(D36:H36)=0,"&gt; 5 yrs",SUM(D36:H36))</f>
        <v>&gt; 5 yrs</v>
      </c>
    </row>
    <row r="42" spans="1:8">
      <c r="A42" s="55" t="s">
        <v>739</v>
      </c>
      <c r="B42" s="74"/>
      <c r="C42" s="75" t="s">
        <v>406</v>
      </c>
      <c r="D42" s="75" t="s">
        <v>276</v>
      </c>
      <c r="E42" s="75" t="s">
        <v>495</v>
      </c>
      <c r="F42" s="75" t="s">
        <v>496</v>
      </c>
      <c r="G42" s="75" t="s">
        <v>497</v>
      </c>
      <c r="H42" s="75" t="s">
        <v>465</v>
      </c>
    </row>
    <row r="43" spans="1:8">
      <c r="A43" s="5" t="s">
        <v>608</v>
      </c>
      <c r="C43" s="12">
        <v>0</v>
      </c>
      <c r="D43" s="6">
        <f>'07_Revenue_Model'!D11*(1+$B$7)*(1+$C$7)</f>
        <v>3960000</v>
      </c>
      <c r="E43" s="6">
        <f>'07_Revenue_Model'!E11*(1+$B$7)*(1+$C$7)</f>
        <v>4989600</v>
      </c>
      <c r="F43" s="6">
        <f>'07_Revenue_Model'!F11*(1+$B$7)*(1+$C$7)</f>
        <v>6112260</v>
      </c>
      <c r="G43" s="6">
        <f>'07_Revenue_Model'!G11*(1+$B$7)*(1+$C$7)</f>
        <v>6967976.4000000013</v>
      </c>
      <c r="H43" s="6">
        <f>'07_Revenue_Model'!H11*(1+$B$7)*(1+$C$7)</f>
        <v>7701447.5999999996</v>
      </c>
    </row>
    <row r="44" spans="1:8">
      <c r="A44" s="5" t="s">
        <v>610</v>
      </c>
      <c r="C44" s="12">
        <v>0</v>
      </c>
      <c r="D44" s="6">
        <f>'08_Cost_Model'!D9*(1+$B$7)*(1+$D$7)</f>
        <v>1425600</v>
      </c>
      <c r="E44" s="6">
        <f>'08_Cost_Model'!E9*(1+$B$7)*(1+$D$7)</f>
        <v>1796256</v>
      </c>
      <c r="F44" s="6">
        <f>'08_Cost_Model'!F9*(1+$B$7)*(1+$D$7)</f>
        <v>2200413.6</v>
      </c>
      <c r="G44" s="6">
        <f>'08_Cost_Model'!G9*(1+$B$7)*(1+$D$7)</f>
        <v>2508471.5040000002</v>
      </c>
      <c r="H44" s="6">
        <f>'08_Cost_Model'!H9*(1+$B$7)*(1+$D$7)</f>
        <v>2772521.1359999999</v>
      </c>
    </row>
    <row r="45" spans="1:8">
      <c r="A45" s="5" t="s">
        <v>622</v>
      </c>
      <c r="C45" s="12">
        <v>0</v>
      </c>
      <c r="D45" s="6">
        <f>'08_Cost_Model'!D21*(1+$E$7)</f>
        <v>2462580</v>
      </c>
      <c r="E45" s="6">
        <f>'08_Cost_Model'!E21*(1+$E$7)</f>
        <v>2611953</v>
      </c>
      <c r="F45" s="6">
        <f>'08_Cost_Model'!F21*(1+$E$7)</f>
        <v>2770224.1380000003</v>
      </c>
      <c r="G45" s="6">
        <f>'08_Cost_Model'!G21*(1+$E$7)</f>
        <v>2931515.6293800003</v>
      </c>
      <c r="H45" s="6">
        <f>'08_Cost_Model'!H21*(1+$E$7)</f>
        <v>3098781.8626698013</v>
      </c>
    </row>
    <row r="46" spans="1:8">
      <c r="A46" s="16" t="s">
        <v>623</v>
      </c>
      <c r="C46" s="12">
        <v>0</v>
      </c>
      <c r="D46" s="43">
        <f>D43-D44-D45</f>
        <v>71820</v>
      </c>
      <c r="E46" s="43">
        <f>E43-E44-E45</f>
        <v>581391</v>
      </c>
      <c r="F46" s="43">
        <f>F43-F44-F45</f>
        <v>1141622.2619999996</v>
      </c>
      <c r="G46" s="43">
        <f>G43-G44-G45</f>
        <v>1527989.2666200013</v>
      </c>
      <c r="H46" s="43">
        <f>H43-H44-H45</f>
        <v>1830144.6013301983</v>
      </c>
    </row>
    <row r="47" spans="1:8">
      <c r="A47" s="5" t="s">
        <v>731</v>
      </c>
      <c r="C47" s="12">
        <v>0</v>
      </c>
      <c r="D47" s="6">
        <f>'09_Assets_Depreciation'!D20</f>
        <v>333550</v>
      </c>
      <c r="E47" s="6">
        <f>'09_Assets_Depreciation'!E20</f>
        <v>333550</v>
      </c>
      <c r="F47" s="6">
        <f>'09_Assets_Depreciation'!F20</f>
        <v>333550</v>
      </c>
      <c r="G47" s="6">
        <f>'09_Assets_Depreciation'!G20</f>
        <v>333550</v>
      </c>
      <c r="H47" s="6">
        <f>'09_Assets_Depreciation'!H20</f>
        <v>313550</v>
      </c>
    </row>
    <row r="48" spans="1:8">
      <c r="A48" s="5" t="s">
        <v>625</v>
      </c>
      <c r="C48" s="12">
        <v>0</v>
      </c>
      <c r="D48" s="12">
        <f>D46-D47</f>
        <v>-261730</v>
      </c>
      <c r="E48" s="12">
        <f>E46-E47</f>
        <v>247841</v>
      </c>
      <c r="F48" s="12">
        <f>F46-F47</f>
        <v>808072.26199999964</v>
      </c>
      <c r="G48" s="12">
        <f>G46-G47</f>
        <v>1194439.2666200013</v>
      </c>
      <c r="H48" s="12">
        <f>H46-H47</f>
        <v>1516594.6013301983</v>
      </c>
    </row>
    <row r="49" spans="1:8">
      <c r="A49" s="5" t="s">
        <v>657</v>
      </c>
      <c r="C49" s="12">
        <v>0</v>
      </c>
      <c r="D49" s="6">
        <f>MAX(0,D48)*'04_Assumptions'!$C$40</f>
        <v>0</v>
      </c>
      <c r="E49" s="6">
        <f>MAX(0,E48)*'04_Assumptions'!$C$40</f>
        <v>62381.579699999995</v>
      </c>
      <c r="F49" s="6">
        <f>MAX(0,F48)*'04_Assumptions'!$C$40</f>
        <v>203391.78834539989</v>
      </c>
      <c r="G49" s="6">
        <f>MAX(0,G48)*'04_Assumptions'!$C$40</f>
        <v>300640.36340825428</v>
      </c>
      <c r="H49" s="6">
        <f>MAX(0,H48)*'04_Assumptions'!$C$40</f>
        <v>381726.86115481087</v>
      </c>
    </row>
    <row r="50" spans="1:8">
      <c r="A50" s="5" t="s">
        <v>732</v>
      </c>
      <c r="C50" s="12">
        <v>0</v>
      </c>
      <c r="D50" s="12">
        <f>D48-D49</f>
        <v>-261730</v>
      </c>
      <c r="E50" s="12">
        <f>E48-E49</f>
        <v>185459.4203</v>
      </c>
      <c r="F50" s="12">
        <f>F48-F49</f>
        <v>604680.47365459974</v>
      </c>
      <c r="G50" s="12">
        <f>G48-G49</f>
        <v>893798.90321174706</v>
      </c>
      <c r="H50" s="12">
        <f>H48-H49</f>
        <v>1134867.7401753874</v>
      </c>
    </row>
    <row r="51" spans="1:8">
      <c r="A51" s="5" t="s">
        <v>733</v>
      </c>
      <c r="C51" s="12">
        <v>0</v>
      </c>
      <c r="D51" s="6">
        <f>D43*'04_Assumptions'!$C$42/365+D44*'04_Assumptions'!$C$43/365-D44*'04_Assumptions'!$C$44/365</f>
        <v>9981.3698630137005</v>
      </c>
      <c r="E51" s="6">
        <f>E43*'04_Assumptions'!$C$42/365+E44*'04_Assumptions'!$C$43/365-E44*'04_Assumptions'!$C$44/365</f>
        <v>12576.52602739726</v>
      </c>
      <c r="F51" s="6">
        <f>F43*'04_Assumptions'!$C$42/365+F44*'04_Assumptions'!$C$43/365-F44*'04_Assumptions'!$C$44/365</f>
        <v>15406.244383561636</v>
      </c>
      <c r="G51" s="6">
        <f>G43*'04_Assumptions'!$C$42/365+G44*'04_Assumptions'!$C$43/365-G44*'04_Assumptions'!$C$44/365</f>
        <v>17563.118597260283</v>
      </c>
      <c r="H51" s="6">
        <f>H43*'04_Assumptions'!$C$42/365+H44*'04_Assumptions'!$C$43/365-H44*'04_Assumptions'!$C$44/365</f>
        <v>19411.867923287675</v>
      </c>
    </row>
    <row r="52" spans="1:8">
      <c r="A52" s="5" t="s">
        <v>734</v>
      </c>
      <c r="C52" s="12">
        <v>0</v>
      </c>
      <c r="D52" s="12">
        <f>D51-C51</f>
        <v>9981.3698630137005</v>
      </c>
      <c r="E52" s="12">
        <f>E51-D51</f>
        <v>2595.1561643835594</v>
      </c>
      <c r="F52" s="12">
        <f>F51-E51</f>
        <v>2829.718356164376</v>
      </c>
      <c r="G52" s="12">
        <f>G51-F51</f>
        <v>2156.8742136986475</v>
      </c>
      <c r="H52" s="12">
        <f>H51-G51</f>
        <v>1848.7493260273914</v>
      </c>
    </row>
    <row r="53" spans="1:8">
      <c r="A53" s="5" t="s">
        <v>735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6">
        <f>'15_Project_FCF'!H14+'15_Project_FCF'!H15+'15_Project_FCF'!H16</f>
        <v>958342.5</v>
      </c>
    </row>
    <row r="54" spans="1:8">
      <c r="A54" s="16" t="s">
        <v>673</v>
      </c>
      <c r="C54" s="76">
        <f>'15_Project_FCF'!C17</f>
        <v>-2929530</v>
      </c>
      <c r="D54" s="43">
        <f>D50+D47-D52+D53</f>
        <v>61838.630136986299</v>
      </c>
      <c r="E54" s="43">
        <f>E50+E47-E52+E53</f>
        <v>516414.26413561642</v>
      </c>
      <c r="F54" s="43">
        <f>F50+F47-F52+F53</f>
        <v>935400.75529843534</v>
      </c>
      <c r="G54" s="43">
        <f>G50+G47-G52+G53</f>
        <v>1225192.0289980485</v>
      </c>
      <c r="H54" s="43">
        <f>H50+H47-H52+H53</f>
        <v>2404911.4908493599</v>
      </c>
    </row>
    <row r="55" spans="1:8">
      <c r="A55" s="5" t="s">
        <v>736</v>
      </c>
      <c r="C55" s="12">
        <f>C54</f>
        <v>-2929530</v>
      </c>
      <c r="D55" s="12">
        <f>C55+D54</f>
        <v>-2867691.3698630137</v>
      </c>
      <c r="E55" s="12">
        <f>D55+E54</f>
        <v>-2351277.1057273974</v>
      </c>
      <c r="F55" s="12">
        <f>E55+F54</f>
        <v>-1415876.3504289621</v>
      </c>
      <c r="G55" s="12">
        <f>F55+G54</f>
        <v>-190684.32143091364</v>
      </c>
      <c r="H55" s="12">
        <f>G55+H54</f>
        <v>2214227.1694184463</v>
      </c>
    </row>
    <row r="56" spans="1:8">
      <c r="A56" s="5" t="s">
        <v>737</v>
      </c>
      <c r="D56" s="26">
        <f>IF(AND(C55&lt;0,D55&gt;=0),0+(-C55)/D54,0)</f>
        <v>0</v>
      </c>
      <c r="E56" s="26">
        <f>IF(AND(D55&lt;0,E55&gt;=0),1+(-D55)/E54,0)</f>
        <v>0</v>
      </c>
      <c r="F56" s="26">
        <f>IF(AND(E55&lt;0,F55&gt;=0),2+(-E55)/F54,0)</f>
        <v>0</v>
      </c>
      <c r="G56" s="26">
        <f>IF(AND(F55&lt;0,G55&gt;=0),3+(-F55)/G54,0)</f>
        <v>0</v>
      </c>
      <c r="H56" s="26">
        <f>IF(AND(G55&lt;0,H55&gt;=0),4+(-G55)/H54,0)</f>
        <v>4.0792895381624081</v>
      </c>
    </row>
    <row r="57" spans="1:8">
      <c r="A57" s="16" t="s">
        <v>724</v>
      </c>
      <c r="C57" s="76">
        <f>C54+NPV('04_Assumptions'!$C$74,D54:H54)</f>
        <v>203004.09969634889</v>
      </c>
    </row>
    <row r="58" spans="1:8">
      <c r="A58" s="16" t="s">
        <v>725</v>
      </c>
      <c r="C58" s="77">
        <f>IFERROR(IRR(C54:H54),"n/a")</f>
        <v>0.15261854563751551</v>
      </c>
    </row>
    <row r="59" spans="1:8">
      <c r="A59" s="16" t="s">
        <v>738</v>
      </c>
      <c r="C59" s="78">
        <f>IF(SUM(D56:H56)=0,"&gt; 5 yrs",SUM(D56:H56))</f>
        <v>4.0792895381624081</v>
      </c>
    </row>
    <row r="62" spans="1:8">
      <c r="A62" s="55" t="s">
        <v>740</v>
      </c>
      <c r="B62" s="74"/>
      <c r="C62" s="75" t="s">
        <v>406</v>
      </c>
      <c r="D62" s="75" t="s">
        <v>276</v>
      </c>
      <c r="E62" s="75" t="s">
        <v>495</v>
      </c>
      <c r="F62" s="75" t="s">
        <v>496</v>
      </c>
      <c r="G62" s="75" t="s">
        <v>497</v>
      </c>
      <c r="H62" s="75" t="s">
        <v>465</v>
      </c>
    </row>
    <row r="63" spans="1:8">
      <c r="A63" s="5" t="s">
        <v>608</v>
      </c>
      <c r="C63" s="12">
        <v>0</v>
      </c>
      <c r="D63" s="6">
        <f>'07_Revenue_Model'!D11*(1+$B$8)*(1+$C$8)</f>
        <v>5227200</v>
      </c>
      <c r="E63" s="6">
        <f>'07_Revenue_Model'!E11*(1+$B$8)*(1+$C$8)</f>
        <v>6586272.0000000009</v>
      </c>
      <c r="F63" s="6">
        <f>'07_Revenue_Model'!F11*(1+$B$8)*(1+$C$8)</f>
        <v>8068183.2000000002</v>
      </c>
      <c r="G63" s="6">
        <f>'07_Revenue_Model'!G11*(1+$B$8)*(1+$C$8)</f>
        <v>9197728.848000003</v>
      </c>
      <c r="H63" s="6">
        <f>'07_Revenue_Model'!H11*(1+$B$8)*(1+$C$8)</f>
        <v>10165910.832</v>
      </c>
    </row>
    <row r="64" spans="1:8">
      <c r="A64" s="5" t="s">
        <v>610</v>
      </c>
      <c r="C64" s="12">
        <v>0</v>
      </c>
      <c r="D64" s="6">
        <f>'08_Cost_Model'!D9*(1+$B$8)*(1+$D$8)</f>
        <v>1625184</v>
      </c>
      <c r="E64" s="6">
        <f>'08_Cost_Model'!E9*(1+$B$8)*(1+$D$8)</f>
        <v>2047731.8399999996</v>
      </c>
      <c r="F64" s="6">
        <f>'08_Cost_Model'!F9*(1+$B$8)*(1+$D$8)</f>
        <v>2508471.5039999997</v>
      </c>
      <c r="G64" s="6">
        <f>'08_Cost_Model'!G9*(1+$B$8)*(1+$D$8)</f>
        <v>2859657.51456</v>
      </c>
      <c r="H64" s="6">
        <f>'08_Cost_Model'!H9*(1+$B$8)*(1+$D$8)</f>
        <v>3160674.09504</v>
      </c>
    </row>
    <row r="65" spans="1:8">
      <c r="A65" s="5" t="s">
        <v>622</v>
      </c>
      <c r="C65" s="12">
        <v>0</v>
      </c>
      <c r="D65" s="6">
        <f>'08_Cost_Model'!D21*(1+$E$8)</f>
        <v>2339451</v>
      </c>
      <c r="E65" s="6">
        <f>'08_Cost_Model'!E21*(1+$E$8)</f>
        <v>2481355.35</v>
      </c>
      <c r="F65" s="6">
        <f>'08_Cost_Model'!F21*(1+$E$8)</f>
        <v>2631712.9311000002</v>
      </c>
      <c r="G65" s="6">
        <f>'08_Cost_Model'!G21*(1+$E$8)</f>
        <v>2784939.8479110003</v>
      </c>
      <c r="H65" s="6">
        <f>'08_Cost_Model'!H21*(1+$E$8)</f>
        <v>2943842.7695363113</v>
      </c>
    </row>
    <row r="66" spans="1:8">
      <c r="A66" s="16" t="s">
        <v>623</v>
      </c>
      <c r="C66" s="12">
        <v>0</v>
      </c>
      <c r="D66" s="43">
        <f>D63-D64-D65</f>
        <v>1262565</v>
      </c>
      <c r="E66" s="43">
        <f>E63-E64-E65</f>
        <v>2057184.810000001</v>
      </c>
      <c r="F66" s="43">
        <f>F63-F64-F65</f>
        <v>2927998.7649000003</v>
      </c>
      <c r="G66" s="43">
        <f>G63-G64-G65</f>
        <v>3553131.4855290027</v>
      </c>
      <c r="H66" s="43">
        <f>H63-H64-H65</f>
        <v>4061393.9674236891</v>
      </c>
    </row>
    <row r="67" spans="1:8">
      <c r="A67" s="5" t="s">
        <v>731</v>
      </c>
      <c r="C67" s="12">
        <v>0</v>
      </c>
      <c r="D67" s="6">
        <f>'09_Assets_Depreciation'!D20</f>
        <v>333550</v>
      </c>
      <c r="E67" s="6">
        <f>'09_Assets_Depreciation'!E20</f>
        <v>333550</v>
      </c>
      <c r="F67" s="6">
        <f>'09_Assets_Depreciation'!F20</f>
        <v>333550</v>
      </c>
      <c r="G67" s="6">
        <f>'09_Assets_Depreciation'!G20</f>
        <v>333550</v>
      </c>
      <c r="H67" s="6">
        <f>'09_Assets_Depreciation'!H20</f>
        <v>313550</v>
      </c>
    </row>
    <row r="68" spans="1:8">
      <c r="A68" s="5" t="s">
        <v>625</v>
      </c>
      <c r="C68" s="12">
        <v>0</v>
      </c>
      <c r="D68" s="12">
        <f>D66-D67</f>
        <v>929015</v>
      </c>
      <c r="E68" s="12">
        <f>E66-E67</f>
        <v>1723634.810000001</v>
      </c>
      <c r="F68" s="12">
        <f>F66-F67</f>
        <v>2594448.7649000003</v>
      </c>
      <c r="G68" s="12">
        <f>G66-G67</f>
        <v>3219581.4855290027</v>
      </c>
      <c r="H68" s="12">
        <f>H66-H67</f>
        <v>3747843.9674236891</v>
      </c>
    </row>
    <row r="69" spans="1:8">
      <c r="A69" s="5" t="s">
        <v>657</v>
      </c>
      <c r="C69" s="12">
        <v>0</v>
      </c>
      <c r="D69" s="6">
        <f>MAX(0,D68)*'04_Assumptions'!$C$40</f>
        <v>233833.07549999998</v>
      </c>
      <c r="E69" s="6">
        <f>MAX(0,E68)*'04_Assumptions'!$C$40</f>
        <v>433838.8816770002</v>
      </c>
      <c r="F69" s="6">
        <f>MAX(0,F68)*'04_Assumptions'!$C$40</f>
        <v>653022.75412533002</v>
      </c>
      <c r="G69" s="6">
        <f>MAX(0,G68)*'04_Assumptions'!$C$40</f>
        <v>810368.65990764997</v>
      </c>
      <c r="H69" s="6">
        <f>MAX(0,H68)*'04_Assumptions'!$C$40</f>
        <v>943332.32660054241</v>
      </c>
    </row>
    <row r="70" spans="1:8">
      <c r="A70" s="5" t="s">
        <v>732</v>
      </c>
      <c r="C70" s="12">
        <v>0</v>
      </c>
      <c r="D70" s="12">
        <f>D68-D69</f>
        <v>695181.92449999996</v>
      </c>
      <c r="E70" s="12">
        <f>E68-E69</f>
        <v>1289795.9283230007</v>
      </c>
      <c r="F70" s="12">
        <f>F68-F69</f>
        <v>1941426.0107746702</v>
      </c>
      <c r="G70" s="12">
        <f>G68-G69</f>
        <v>2409212.8256213525</v>
      </c>
      <c r="H70" s="12">
        <f>H68-H69</f>
        <v>2804511.6408231468</v>
      </c>
    </row>
    <row r="71" spans="1:8">
      <c r="A71" s="5" t="s">
        <v>733</v>
      </c>
      <c r="C71" s="12">
        <v>0</v>
      </c>
      <c r="D71" s="6">
        <f>D63*'04_Assumptions'!$C$42/365+D64*'04_Assumptions'!$C$43/365-D64*'04_Assumptions'!$C$44/365</f>
        <v>15284.51506849315</v>
      </c>
      <c r="E71" s="6">
        <f>E63*'04_Assumptions'!$C$42/365+E64*'04_Assumptions'!$C$43/365-E64*'04_Assumptions'!$C$44/365</f>
        <v>19258.488986301381</v>
      </c>
      <c r="F71" s="6">
        <f>F63*'04_Assumptions'!$C$42/365+F64*'04_Assumptions'!$C$43/365-F64*'04_Assumptions'!$C$44/365</f>
        <v>23591.649008219159</v>
      </c>
      <c r="G71" s="6">
        <f>G63*'04_Assumptions'!$C$42/365+G64*'04_Assumptions'!$C$43/365-G64*'04_Assumptions'!$C$44/365</f>
        <v>26894.479869369898</v>
      </c>
      <c r="H71" s="6">
        <f>H63*'04_Assumptions'!$C$42/365+H64*'04_Assumptions'!$C$43/365-H64*'04_Assumptions'!$C$44/365</f>
        <v>29725.477750356164</v>
      </c>
    </row>
    <row r="72" spans="1:8">
      <c r="A72" s="5" t="s">
        <v>734</v>
      </c>
      <c r="C72" s="12">
        <v>0</v>
      </c>
      <c r="D72" s="12">
        <f>D71-C71</f>
        <v>15284.51506849315</v>
      </c>
      <c r="E72" s="12">
        <f>E71-D71</f>
        <v>3973.9739178082309</v>
      </c>
      <c r="F72" s="12">
        <f>F71-E71</f>
        <v>4333.1600219177781</v>
      </c>
      <c r="G72" s="12">
        <f>G71-F71</f>
        <v>3302.8308611507382</v>
      </c>
      <c r="H72" s="12">
        <f>H71-G71</f>
        <v>2830.997880986266</v>
      </c>
    </row>
    <row r="73" spans="1:8">
      <c r="A73" s="5" t="s">
        <v>735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6">
        <f>'15_Project_FCF'!H14+'15_Project_FCF'!H15+'15_Project_FCF'!H16</f>
        <v>958342.5</v>
      </c>
    </row>
    <row r="74" spans="1:8">
      <c r="A74" s="16" t="s">
        <v>673</v>
      </c>
      <c r="C74" s="76">
        <f>'15_Project_FCF'!C17</f>
        <v>-2929530</v>
      </c>
      <c r="D74" s="43">
        <f>D70+D67-D72+D73</f>
        <v>1013447.4094315068</v>
      </c>
      <c r="E74" s="43">
        <f>E70+E67-E72+E73</f>
        <v>1619371.9544051925</v>
      </c>
      <c r="F74" s="43">
        <f>F70+F67-F72+F73</f>
        <v>2270642.8507527523</v>
      </c>
      <c r="G74" s="43">
        <f>G70+G67-G72+G73</f>
        <v>2739459.9947602018</v>
      </c>
      <c r="H74" s="43">
        <f>H70+H67-H72+H73</f>
        <v>4073573.1429421604</v>
      </c>
    </row>
    <row r="75" spans="1:8">
      <c r="A75" s="5" t="s">
        <v>736</v>
      </c>
      <c r="C75" s="12">
        <f>C74</f>
        <v>-2929530</v>
      </c>
      <c r="D75" s="12">
        <f>C75+D74</f>
        <v>-1916082.5905684931</v>
      </c>
      <c r="E75" s="12">
        <f>D75+E74</f>
        <v>-296710.6361633006</v>
      </c>
      <c r="F75" s="12">
        <f>E75+F74</f>
        <v>1973932.2145894517</v>
      </c>
      <c r="G75" s="12">
        <f>F75+G74</f>
        <v>4713392.2093496537</v>
      </c>
      <c r="H75" s="12">
        <f>G75+H74</f>
        <v>8786965.352291815</v>
      </c>
    </row>
    <row r="76" spans="1:8">
      <c r="A76" s="5" t="s">
        <v>737</v>
      </c>
      <c r="D76" s="26">
        <f>IF(AND(C75&lt;0,D75&gt;=0),0+(-C75)/D74,0)</f>
        <v>0</v>
      </c>
      <c r="E76" s="26">
        <f>IF(AND(D75&lt;0,E75&gt;=0),1+(-D75)/E74,0)</f>
        <v>0</v>
      </c>
      <c r="F76" s="26">
        <f>IF(AND(E75&lt;0,F75&gt;=0),2+(-E75)/F74,0)</f>
        <v>2.1306725256527845</v>
      </c>
      <c r="G76" s="26">
        <f>IF(AND(F75&lt;0,G75&gt;=0),3+(-F75)/G74,0)</f>
        <v>0</v>
      </c>
      <c r="H76" s="26">
        <f>IF(AND(G75&lt;0,H75&gt;=0),4+(-G75)/H74,0)</f>
        <v>0</v>
      </c>
    </row>
    <row r="77" spans="1:8">
      <c r="A77" s="16" t="s">
        <v>724</v>
      </c>
      <c r="C77" s="76">
        <f>C74+NPV('04_Assumptions'!$C$74,D74:H74)</f>
        <v>4633870.3896933319</v>
      </c>
    </row>
    <row r="78" spans="1:8">
      <c r="A78" s="16" t="s">
        <v>725</v>
      </c>
      <c r="C78" s="77">
        <f>IFERROR(IRR(C74:H74),"n/a")</f>
        <v>0.53820595125489301</v>
      </c>
    </row>
    <row r="79" spans="1:8">
      <c r="A79" s="16" t="s">
        <v>738</v>
      </c>
      <c r="C79" s="78">
        <f>IF(SUM(D76:H76)=0,"&gt; 5 yrs",SUM(D76:H76))</f>
        <v>2.1306725256527845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429"/>
  <sheetViews>
    <sheetView showGridLines="0" topLeftCell="A400" workbookViewId="0">
      <selection activeCell="A2" sqref="A2:XFD2"/>
    </sheetView>
  </sheetViews>
  <sheetFormatPr defaultColWidth="8.6640625" defaultRowHeight="13.8"/>
  <cols>
    <col min="1" max="1" width="34" style="2" customWidth="1"/>
    <col min="2" max="2" width="16" style="2" customWidth="1"/>
    <col min="3" max="8" width="15" style="2" customWidth="1"/>
    <col min="9" max="9" width="40" style="2" customWidth="1"/>
    <col min="10" max="16384" width="8.6640625" style="2"/>
  </cols>
  <sheetData>
    <row r="1" spans="1:7" ht="17.399999999999999">
      <c r="A1" s="1" t="s">
        <v>741</v>
      </c>
    </row>
    <row r="2" spans="1:7">
      <c r="A2" s="3" t="s">
        <v>742</v>
      </c>
    </row>
    <row r="5" spans="1:7">
      <c r="A5" s="4" t="s">
        <v>677</v>
      </c>
      <c r="B5" s="4" t="s">
        <v>552</v>
      </c>
      <c r="C5" s="4"/>
      <c r="D5" s="4"/>
      <c r="E5" s="4"/>
      <c r="F5" s="4"/>
      <c r="G5" s="4"/>
    </row>
    <row r="6" spans="1:7">
      <c r="A6" s="16" t="s">
        <v>743</v>
      </c>
      <c r="C6" s="79">
        <v>-0.2</v>
      </c>
      <c r="D6" s="79">
        <v>-0.1</v>
      </c>
      <c r="E6" s="79">
        <v>0</v>
      </c>
      <c r="F6" s="79">
        <v>0.1</v>
      </c>
      <c r="G6" s="79">
        <v>0.2</v>
      </c>
    </row>
    <row r="7" spans="1:7">
      <c r="A7" s="16" t="s">
        <v>744</v>
      </c>
      <c r="C7" s="12">
        <f>C47</f>
        <v>-3203472.6661753552</v>
      </c>
      <c r="D7" s="12">
        <f>C67</f>
        <v>-1423256.4893102557</v>
      </c>
      <c r="E7" s="12">
        <f>C87</f>
        <v>203004.09969634889</v>
      </c>
      <c r="F7" s="12">
        <f>C107</f>
        <v>1750188.2107113348</v>
      </c>
      <c r="G7" s="12">
        <f>C127</f>
        <v>3239223.7042219182</v>
      </c>
    </row>
    <row r="8" spans="1:7">
      <c r="A8" s="16" t="s">
        <v>745</v>
      </c>
      <c r="C8" s="12">
        <f>C147</f>
        <v>-1893398.2843170953</v>
      </c>
      <c r="D8" s="12">
        <f>C167</f>
        <v>-820895.66854522983</v>
      </c>
      <c r="E8" s="12">
        <f>C187</f>
        <v>203004.09969634889</v>
      </c>
      <c r="F8" s="12">
        <f>C207</f>
        <v>1212883.6581275174</v>
      </c>
      <c r="G8" s="12">
        <f>C227</f>
        <v>2168298.1816708082</v>
      </c>
    </row>
    <row r="9" spans="1:7">
      <c r="A9" s="16" t="s">
        <v>610</v>
      </c>
      <c r="C9" s="12">
        <f>C247</f>
        <v>1332078.2397518605</v>
      </c>
      <c r="D9" s="12">
        <f>C267</f>
        <v>770139.45070723211</v>
      </c>
      <c r="E9" s="12">
        <f>C287</f>
        <v>203004.09969634889</v>
      </c>
      <c r="F9" s="12">
        <f>C307</f>
        <v>-364131.2513145362</v>
      </c>
      <c r="G9" s="12">
        <f>C327</f>
        <v>-953114.69430341595</v>
      </c>
    </row>
    <row r="10" spans="1:7">
      <c r="A10" s="16" t="s">
        <v>746</v>
      </c>
      <c r="C10" s="12">
        <f>C347</f>
        <v>1690960.5533787049</v>
      </c>
      <c r="D10" s="12">
        <f>C367</f>
        <v>972619.21730161831</v>
      </c>
      <c r="E10" s="12">
        <f>C387</f>
        <v>203004.09969634889</v>
      </c>
      <c r="F10" s="12">
        <f>C407</f>
        <v>-569229.86227596924</v>
      </c>
      <c r="G10" s="12">
        <f>C427</f>
        <v>-1390066.6717785748</v>
      </c>
    </row>
    <row r="11" spans="1:7">
      <c r="A11" s="16" t="s">
        <v>206</v>
      </c>
      <c r="C11" s="6">
        <f>'16_Appraisal'!C8+NPV('04_Assumptions'!$C$74*(1+C$6),'16_Appraisal'!D8:H8)</f>
        <v>507907.83791871509</v>
      </c>
      <c r="D11" s="6">
        <f>'16_Appraisal'!C8+NPV('04_Assumptions'!$C$74*(1+D$6),'16_Appraisal'!D8:H8)</f>
        <v>350719.39177116519</v>
      </c>
      <c r="E11" s="6">
        <f>'16_Appraisal'!C8+NPV('04_Assumptions'!$C$74*(1+E$6),'16_Appraisal'!D8:H8)</f>
        <v>203004.09969634889</v>
      </c>
      <c r="F11" s="6">
        <f>'16_Appraisal'!C8+NPV('04_Assumptions'!$C$74*(1+F$6),'16_Appraisal'!D8:H8)</f>
        <v>64071.797190468758</v>
      </c>
      <c r="G11" s="6">
        <f>'16_Appraisal'!C8+NPV('04_Assumptions'!$C$74*(1+G$6),'16_Appraisal'!D8:H8)</f>
        <v>-66709.392783503979</v>
      </c>
    </row>
    <row r="13" spans="1:7">
      <c r="A13" s="4" t="s">
        <v>725</v>
      </c>
      <c r="C13" s="80">
        <f>C6</f>
        <v>-0.2</v>
      </c>
      <c r="D13" s="80">
        <f>D6</f>
        <v>-0.1</v>
      </c>
      <c r="E13" s="80">
        <f>E6</f>
        <v>0</v>
      </c>
      <c r="F13" s="80">
        <f>F6</f>
        <v>0.1</v>
      </c>
      <c r="G13" s="80">
        <f>G6</f>
        <v>0.2</v>
      </c>
    </row>
    <row r="14" spans="1:7">
      <c r="A14" s="16" t="s">
        <v>744</v>
      </c>
      <c r="C14" s="9" t="str">
        <f>C48</f>
        <v>n/a</v>
      </c>
      <c r="D14" s="9">
        <f>C68</f>
        <v>-1.2352208247347361E-2</v>
      </c>
      <c r="E14" s="9">
        <f>C88</f>
        <v>0.15261854563751551</v>
      </c>
      <c r="F14" s="9">
        <f>C108</f>
        <v>0.2958947538218421</v>
      </c>
      <c r="G14" s="9">
        <f>C128</f>
        <v>0.42316448280661545</v>
      </c>
    </row>
    <row r="15" spans="1:7">
      <c r="A15" s="16" t="s">
        <v>745</v>
      </c>
      <c r="C15" s="9">
        <f>C148</f>
        <v>-6.3671147525445559E-2</v>
      </c>
      <c r="D15" s="9">
        <f>C168</f>
        <v>5.0736127461885827E-2</v>
      </c>
      <c r="E15" s="9">
        <f>C188</f>
        <v>0.15261854563751551</v>
      </c>
      <c r="F15" s="9">
        <f>C208</f>
        <v>0.24769449185807271</v>
      </c>
      <c r="G15" s="9">
        <f>C228</f>
        <v>0.33249298083154433</v>
      </c>
    </row>
    <row r="16" spans="1:7">
      <c r="A16" s="16" t="s">
        <v>610</v>
      </c>
      <c r="C16" s="9">
        <f>C248</f>
        <v>0.25851905491254046</v>
      </c>
      <c r="D16" s="9">
        <f>C268</f>
        <v>0.20655417274461207</v>
      </c>
      <c r="E16" s="9">
        <f>C288</f>
        <v>0.15261854563751551</v>
      </c>
      <c r="F16" s="9">
        <f>C308</f>
        <v>9.69668787733559E-2</v>
      </c>
      <c r="G16" s="9">
        <f>C328</f>
        <v>3.7101414517278039E-2</v>
      </c>
    </row>
    <row r="17" spans="1:8">
      <c r="A17" s="16" t="s">
        <v>746</v>
      </c>
      <c r="C17" s="9">
        <f>C348</f>
        <v>0.29441135276851943</v>
      </c>
      <c r="D17" s="9">
        <f>C368</f>
        <v>0.2268103723896015</v>
      </c>
      <c r="E17" s="9">
        <f>C388</f>
        <v>0.15261854563751551</v>
      </c>
      <c r="F17" s="9">
        <f>C408</f>
        <v>7.7265524005181524E-2</v>
      </c>
      <c r="G17" s="9">
        <f>C428</f>
        <v>-3.8859551859730958E-3</v>
      </c>
    </row>
    <row r="18" spans="1:8">
      <c r="A18" s="16" t="s">
        <v>747</v>
      </c>
      <c r="C18" s="44">
        <f>'16_Appraisal'!C17</f>
        <v>0.15261854563751551</v>
      </c>
      <c r="D18" s="44">
        <f>'16_Appraisal'!C17</f>
        <v>0.15261854563751551</v>
      </c>
      <c r="E18" s="44">
        <f>'16_Appraisal'!C17</f>
        <v>0.15261854563751551</v>
      </c>
      <c r="F18" s="44">
        <f>'16_Appraisal'!C17</f>
        <v>0.15261854563751551</v>
      </c>
      <c r="G18" s="44">
        <f>'16_Appraisal'!C17</f>
        <v>0.15261854563751551</v>
      </c>
    </row>
    <row r="20" spans="1:8">
      <c r="A20" s="4" t="s">
        <v>748</v>
      </c>
      <c r="B20" s="4" t="s">
        <v>749</v>
      </c>
      <c r="C20" s="4" t="s">
        <v>750</v>
      </c>
      <c r="D20" s="4" t="s">
        <v>751</v>
      </c>
      <c r="E20" s="4" t="s">
        <v>752</v>
      </c>
    </row>
    <row r="21" spans="1:8">
      <c r="A21" s="16" t="s">
        <v>744</v>
      </c>
      <c r="B21" s="12">
        <f>MIN(C7:G7)</f>
        <v>-3203472.6661753552</v>
      </c>
      <c r="C21" s="12">
        <f>MAX(C7:G7)</f>
        <v>3239223.7042219182</v>
      </c>
      <c r="D21" s="12">
        <f>C21-B21</f>
        <v>6442696.3703972735</v>
      </c>
      <c r="E21" s="81">
        <f>RANK(D21,$D$21:$D$25)</f>
        <v>1</v>
      </c>
    </row>
    <row r="22" spans="1:8">
      <c r="A22" s="16" t="s">
        <v>745</v>
      </c>
      <c r="B22" s="12">
        <f>MIN(C8:G8)</f>
        <v>-1893398.2843170953</v>
      </c>
      <c r="C22" s="12">
        <f>MAX(C8:G8)</f>
        <v>2168298.1816708082</v>
      </c>
      <c r="D22" s="12">
        <f>C22-B22</f>
        <v>4061696.4659879035</v>
      </c>
      <c r="E22" s="81">
        <f>RANK(D22,$D$21:$D$25)</f>
        <v>2</v>
      </c>
    </row>
    <row r="23" spans="1:8">
      <c r="A23" s="16" t="s">
        <v>610</v>
      </c>
      <c r="B23" s="12">
        <f>MIN(C9:G9)</f>
        <v>-953114.69430341595</v>
      </c>
      <c r="C23" s="12">
        <f>MAX(C9:G9)</f>
        <v>1332078.2397518605</v>
      </c>
      <c r="D23" s="12">
        <f>C23-B23</f>
        <v>2285192.9340552762</v>
      </c>
      <c r="E23" s="81">
        <f>RANK(D23,$D$21:$D$25)</f>
        <v>4</v>
      </c>
    </row>
    <row r="24" spans="1:8">
      <c r="A24" s="16" t="s">
        <v>746</v>
      </c>
      <c r="B24" s="12">
        <f>MIN(C10:G10)</f>
        <v>-1390066.6717785748</v>
      </c>
      <c r="C24" s="12">
        <f>MAX(C10:G10)</f>
        <v>1690960.5533787049</v>
      </c>
      <c r="D24" s="12">
        <f>C24-B24</f>
        <v>3081027.2251572795</v>
      </c>
      <c r="E24" s="81">
        <f>RANK(D24,$D$21:$D$25)</f>
        <v>3</v>
      </c>
    </row>
    <row r="25" spans="1:8">
      <c r="A25" s="16" t="s">
        <v>206</v>
      </c>
      <c r="B25" s="12">
        <f>MIN(C11:G11)</f>
        <v>-66709.392783503979</v>
      </c>
      <c r="C25" s="12">
        <f>MAX(C11:G11)</f>
        <v>507907.83791871509</v>
      </c>
      <c r="D25" s="12">
        <f>C25-B25</f>
        <v>574617.23070221907</v>
      </c>
      <c r="E25" s="81">
        <f>RANK(D25,$D$21:$D$25)</f>
        <v>5</v>
      </c>
    </row>
    <row r="27" spans="1:8">
      <c r="A27" s="16" t="s">
        <v>753</v>
      </c>
      <c r="B27" s="82" t="str">
        <f>INDEX(A21:A25,MATCH(MAX(D21:D25),D21:D25,0))</f>
        <v>Selling price</v>
      </c>
    </row>
    <row r="28" spans="1:8">
      <c r="A28" s="5" t="s">
        <v>754</v>
      </c>
      <c r="E28" s="15">
        <f>ROUND(E7-'16_Appraisal'!C15,2)</f>
        <v>0</v>
      </c>
    </row>
    <row r="29" spans="1:8">
      <c r="A29" s="18" t="s">
        <v>755</v>
      </c>
    </row>
    <row r="32" spans="1:8">
      <c r="A32" s="55" t="s">
        <v>756</v>
      </c>
      <c r="B32" s="74"/>
      <c r="C32" s="75" t="s">
        <v>406</v>
      </c>
      <c r="D32" s="75" t="s">
        <v>276</v>
      </c>
      <c r="E32" s="75" t="s">
        <v>495</v>
      </c>
      <c r="F32" s="75" t="s">
        <v>496</v>
      </c>
      <c r="G32" s="75" t="s">
        <v>497</v>
      </c>
      <c r="H32" s="75" t="s">
        <v>465</v>
      </c>
    </row>
    <row r="33" spans="1:8">
      <c r="A33" s="5" t="s">
        <v>608</v>
      </c>
      <c r="C33" s="12">
        <v>0</v>
      </c>
      <c r="D33" s="6">
        <f>'07_Revenue_Model'!D11*(1+0)*(1+$C$6)</f>
        <v>3168000</v>
      </c>
      <c r="E33" s="6">
        <f>'07_Revenue_Model'!E11*(1+0)*(1+$C$6)</f>
        <v>3991680</v>
      </c>
      <c r="F33" s="6">
        <f>'07_Revenue_Model'!F11*(1+0)*(1+$C$6)</f>
        <v>4889808</v>
      </c>
      <c r="G33" s="6">
        <f>'07_Revenue_Model'!G11*(1+0)*(1+$C$6)</f>
        <v>5574381.120000001</v>
      </c>
      <c r="H33" s="6">
        <f>'07_Revenue_Model'!H11*(1+0)*(1+$C$6)</f>
        <v>6161158.0800000001</v>
      </c>
    </row>
    <row r="34" spans="1:8">
      <c r="A34" s="5" t="s">
        <v>610</v>
      </c>
      <c r="C34" s="12">
        <v>0</v>
      </c>
      <c r="D34" s="6">
        <f>'08_Cost_Model'!D9*(1+0)*(1+0)</f>
        <v>1425600</v>
      </c>
      <c r="E34" s="6">
        <f>'08_Cost_Model'!E9*(1+0)*(1+0)</f>
        <v>1796256</v>
      </c>
      <c r="F34" s="6">
        <f>'08_Cost_Model'!F9*(1+0)*(1+0)</f>
        <v>2200413.6</v>
      </c>
      <c r="G34" s="6">
        <f>'08_Cost_Model'!G9*(1+0)*(1+0)</f>
        <v>2508471.5040000002</v>
      </c>
      <c r="H34" s="6">
        <f>'08_Cost_Model'!H9*(1+0)*(1+0)</f>
        <v>2772521.1359999999</v>
      </c>
    </row>
    <row r="35" spans="1:8">
      <c r="A35" s="5" t="s">
        <v>622</v>
      </c>
      <c r="C35" s="12">
        <v>0</v>
      </c>
      <c r="D35" s="6">
        <f>'08_Cost_Model'!D21*(1+0)</f>
        <v>2462580</v>
      </c>
      <c r="E35" s="6">
        <f>'08_Cost_Model'!E21*(1+0)</f>
        <v>2611953</v>
      </c>
      <c r="F35" s="6">
        <f>'08_Cost_Model'!F21*(1+0)</f>
        <v>2770224.1380000003</v>
      </c>
      <c r="G35" s="6">
        <f>'08_Cost_Model'!G21*(1+0)</f>
        <v>2931515.6293800003</v>
      </c>
      <c r="H35" s="6">
        <f>'08_Cost_Model'!H21*(1+0)</f>
        <v>3098781.8626698013</v>
      </c>
    </row>
    <row r="36" spans="1:8">
      <c r="A36" s="16" t="s">
        <v>623</v>
      </c>
      <c r="C36" s="12">
        <v>0</v>
      </c>
      <c r="D36" s="43">
        <f>D33-D34-D35</f>
        <v>-720180</v>
      </c>
      <c r="E36" s="43">
        <f>E33-E34-E35</f>
        <v>-416529</v>
      </c>
      <c r="F36" s="43">
        <f>F33-F34-F35</f>
        <v>-80829.738000000361</v>
      </c>
      <c r="G36" s="43">
        <f>G33-G34-G35</f>
        <v>134393.98662000056</v>
      </c>
      <c r="H36" s="43">
        <f>H33-H34-H35</f>
        <v>289855.08133019879</v>
      </c>
    </row>
    <row r="37" spans="1:8">
      <c r="A37" s="5" t="s">
        <v>731</v>
      </c>
      <c r="C37" s="12">
        <v>0</v>
      </c>
      <c r="D37" s="6">
        <f>'09_Assets_Depreciation'!D20</f>
        <v>333550</v>
      </c>
      <c r="E37" s="6">
        <f>'09_Assets_Depreciation'!E20</f>
        <v>333550</v>
      </c>
      <c r="F37" s="6">
        <f>'09_Assets_Depreciation'!F20</f>
        <v>333550</v>
      </c>
      <c r="G37" s="6">
        <f>'09_Assets_Depreciation'!G20</f>
        <v>333550</v>
      </c>
      <c r="H37" s="6">
        <f>'09_Assets_Depreciation'!H20</f>
        <v>313550</v>
      </c>
    </row>
    <row r="38" spans="1:8">
      <c r="A38" s="5" t="s">
        <v>625</v>
      </c>
      <c r="C38" s="12">
        <v>0</v>
      </c>
      <c r="D38" s="12">
        <f>D36-D37</f>
        <v>-1053730</v>
      </c>
      <c r="E38" s="12">
        <f>E36-E37</f>
        <v>-750079</v>
      </c>
      <c r="F38" s="12">
        <f>F36-F37</f>
        <v>-414379.73800000036</v>
      </c>
      <c r="G38" s="12">
        <f>G36-G37</f>
        <v>-199156.01337999944</v>
      </c>
      <c r="H38" s="12">
        <f>H36-H37</f>
        <v>-23694.918669801205</v>
      </c>
    </row>
    <row r="39" spans="1:8">
      <c r="A39" s="5" t="s">
        <v>657</v>
      </c>
      <c r="C39" s="12">
        <v>0</v>
      </c>
      <c r="D39" s="6">
        <f>MAX(0,D38)*'04_Assumptions'!$C$40</f>
        <v>0</v>
      </c>
      <c r="E39" s="6">
        <f>MAX(0,E38)*'04_Assumptions'!$C$40</f>
        <v>0</v>
      </c>
      <c r="F39" s="6">
        <f>MAX(0,F38)*'04_Assumptions'!$C$40</f>
        <v>0</v>
      </c>
      <c r="G39" s="6">
        <f>MAX(0,G38)*'04_Assumptions'!$C$40</f>
        <v>0</v>
      </c>
      <c r="H39" s="6">
        <f>MAX(0,H38)*'04_Assumptions'!$C$40</f>
        <v>0</v>
      </c>
    </row>
    <row r="40" spans="1:8">
      <c r="A40" s="5" t="s">
        <v>732</v>
      </c>
      <c r="C40" s="12">
        <v>0</v>
      </c>
      <c r="D40" s="12">
        <f>D38-D39</f>
        <v>-1053730</v>
      </c>
      <c r="E40" s="12">
        <f>E38-E39</f>
        <v>-750079</v>
      </c>
      <c r="F40" s="12">
        <f>F38-F39</f>
        <v>-414379.73800000036</v>
      </c>
      <c r="G40" s="12">
        <f>G38-G39</f>
        <v>-199156.01337999944</v>
      </c>
      <c r="H40" s="12">
        <f>H38-H39</f>
        <v>-23694.918669801205</v>
      </c>
    </row>
    <row r="41" spans="1:8">
      <c r="A41" s="5" t="s">
        <v>733</v>
      </c>
      <c r="C41" s="12">
        <v>0</v>
      </c>
      <c r="D41" s="6">
        <f>D33*'04_Assumptions'!$C$42/365+D34*'04_Assumptions'!$C$43/365-D34*'04_Assumptions'!$C$44/365</f>
        <v>5641.6438356164363</v>
      </c>
      <c r="E41" s="6">
        <f>E33*'04_Assumptions'!$C$42/365+E34*'04_Assumptions'!$C$43/365-E34*'04_Assumptions'!$C$44/365</f>
        <v>7108.4712328767127</v>
      </c>
      <c r="F41" s="6">
        <f>F33*'04_Assumptions'!$C$42/365+F34*'04_Assumptions'!$C$43/365-F34*'04_Assumptions'!$C$44/365</f>
        <v>8707.87726027397</v>
      </c>
      <c r="G41" s="6">
        <f>G33*'04_Assumptions'!$C$42/365+G34*'04_Assumptions'!$C$43/365-G34*'04_Assumptions'!$C$44/365</f>
        <v>9926.9800767123379</v>
      </c>
      <c r="H41" s="6">
        <f>H33*'04_Assumptions'!$C$42/365+H34*'04_Assumptions'!$C$43/365-H34*'04_Assumptions'!$C$44/365</f>
        <v>10971.925347945216</v>
      </c>
    </row>
    <row r="42" spans="1:8">
      <c r="A42" s="5" t="s">
        <v>734</v>
      </c>
      <c r="C42" s="12">
        <v>0</v>
      </c>
      <c r="D42" s="12">
        <f>D41-C41</f>
        <v>5641.6438356164363</v>
      </c>
      <c r="E42" s="12">
        <f>E41-D41</f>
        <v>1466.8273972602765</v>
      </c>
      <c r="F42" s="12">
        <f>F41-E41</f>
        <v>1599.4060273972573</v>
      </c>
      <c r="G42" s="12">
        <f>G41-F41</f>
        <v>1219.1028164383679</v>
      </c>
      <c r="H42" s="12">
        <f>H41-G41</f>
        <v>1044.9452712328784</v>
      </c>
    </row>
    <row r="43" spans="1:8">
      <c r="A43" s="5" t="s">
        <v>735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6">
        <f>'15_Project_FCF'!H14+'15_Project_FCF'!H15+'15_Project_FCF'!H16</f>
        <v>958342.5</v>
      </c>
    </row>
    <row r="44" spans="1:8">
      <c r="A44" s="16" t="s">
        <v>673</v>
      </c>
      <c r="C44" s="76">
        <f>'15_Project_FCF'!C17</f>
        <v>-2929530</v>
      </c>
      <c r="D44" s="43">
        <f>D40+D37-D42+D43</f>
        <v>-725821.64383561641</v>
      </c>
      <c r="E44" s="43">
        <f>E40+E37-E42+E43</f>
        <v>-417995.82739726029</v>
      </c>
      <c r="F44" s="43">
        <f>F40+F37-F42+F43</f>
        <v>-82429.144027397619</v>
      </c>
      <c r="G44" s="43">
        <f>G40+G37-G42+G43</f>
        <v>133174.8838035622</v>
      </c>
      <c r="H44" s="43">
        <f>H40+H37-H42+H43</f>
        <v>1247152.6360589659</v>
      </c>
    </row>
    <row r="45" spans="1:8">
      <c r="A45" s="5" t="s">
        <v>736</v>
      </c>
      <c r="C45" s="12">
        <f>C44</f>
        <v>-2929530</v>
      </c>
      <c r="D45" s="12">
        <f>C45+D44</f>
        <v>-3655351.6438356163</v>
      </c>
      <c r="E45" s="12">
        <f>D45+E44</f>
        <v>-4073347.4712328766</v>
      </c>
      <c r="F45" s="12">
        <f>E45+F44</f>
        <v>-4155776.6152602741</v>
      </c>
      <c r="G45" s="12">
        <f>F45+G44</f>
        <v>-4022601.7314567119</v>
      </c>
      <c r="H45" s="12">
        <f>G45+H44</f>
        <v>-2775449.0953977462</v>
      </c>
    </row>
    <row r="46" spans="1:8">
      <c r="A46" s="5" t="s">
        <v>737</v>
      </c>
      <c r="D46" s="26">
        <f>IF(AND(C45&lt;0,D45&gt;=0),0+(-C45)/D44,0)</f>
        <v>0</v>
      </c>
      <c r="E46" s="26">
        <f>IF(AND(D45&lt;0,E45&gt;=0),1+(-D45)/E44,0)</f>
        <v>0</v>
      </c>
      <c r="F46" s="26">
        <f>IF(AND(E45&lt;0,F45&gt;=0),2+(-E45)/F44,0)</f>
        <v>0</v>
      </c>
      <c r="G46" s="26">
        <f>IF(AND(F45&lt;0,G45&gt;=0),3+(-F45)/G44,0)</f>
        <v>0</v>
      </c>
      <c r="H46" s="26">
        <f>IF(AND(G45&lt;0,H45&gt;=0),4+(-G45)/H44,0)</f>
        <v>0</v>
      </c>
    </row>
    <row r="47" spans="1:8">
      <c r="A47" s="16" t="s">
        <v>724</v>
      </c>
      <c r="C47" s="76">
        <f>C44+NPV('04_Assumptions'!$C$74,D44:H44)</f>
        <v>-3203472.6661753552</v>
      </c>
    </row>
    <row r="48" spans="1:8">
      <c r="A48" s="16" t="s">
        <v>725</v>
      </c>
      <c r="C48" s="77" t="str">
        <f>IFERROR(IRR(C44:H44),"n/a")</f>
        <v>n/a</v>
      </c>
    </row>
    <row r="49" spans="1:8">
      <c r="A49" s="16" t="s">
        <v>738</v>
      </c>
      <c r="C49" s="78" t="str">
        <f>IF(SUM(D46:H46)=0,"&gt; 5 yrs",SUM(D46:H46))</f>
        <v>&gt; 5 yrs</v>
      </c>
    </row>
    <row r="52" spans="1:8">
      <c r="A52" s="55" t="s">
        <v>757</v>
      </c>
      <c r="B52" s="74"/>
      <c r="C52" s="75" t="s">
        <v>406</v>
      </c>
      <c r="D52" s="75" t="s">
        <v>276</v>
      </c>
      <c r="E52" s="75" t="s">
        <v>495</v>
      </c>
      <c r="F52" s="75" t="s">
        <v>496</v>
      </c>
      <c r="G52" s="75" t="s">
        <v>497</v>
      </c>
      <c r="H52" s="75" t="s">
        <v>465</v>
      </c>
    </row>
    <row r="53" spans="1:8">
      <c r="A53" s="5" t="s">
        <v>608</v>
      </c>
      <c r="C53" s="12">
        <v>0</v>
      </c>
      <c r="D53" s="6">
        <f>'07_Revenue_Model'!D11*(1+0)*(1+$D$6)</f>
        <v>3564000</v>
      </c>
      <c r="E53" s="6">
        <f>'07_Revenue_Model'!E11*(1+0)*(1+$D$6)</f>
        <v>4490640</v>
      </c>
      <c r="F53" s="6">
        <f>'07_Revenue_Model'!F11*(1+0)*(1+$D$6)</f>
        <v>5501034</v>
      </c>
      <c r="G53" s="6">
        <f>'07_Revenue_Model'!G11*(1+0)*(1+$D$6)</f>
        <v>6271178.7600000016</v>
      </c>
      <c r="H53" s="6">
        <f>'07_Revenue_Model'!H11*(1+0)*(1+$D$6)</f>
        <v>6931302.8399999999</v>
      </c>
    </row>
    <row r="54" spans="1:8">
      <c r="A54" s="5" t="s">
        <v>610</v>
      </c>
      <c r="C54" s="12">
        <v>0</v>
      </c>
      <c r="D54" s="6">
        <f>'08_Cost_Model'!D9*(1+0)*(1+0)</f>
        <v>1425600</v>
      </c>
      <c r="E54" s="6">
        <f>'08_Cost_Model'!E9*(1+0)*(1+0)</f>
        <v>1796256</v>
      </c>
      <c r="F54" s="6">
        <f>'08_Cost_Model'!F9*(1+0)*(1+0)</f>
        <v>2200413.6</v>
      </c>
      <c r="G54" s="6">
        <f>'08_Cost_Model'!G9*(1+0)*(1+0)</f>
        <v>2508471.5040000002</v>
      </c>
      <c r="H54" s="6">
        <f>'08_Cost_Model'!H9*(1+0)*(1+0)</f>
        <v>2772521.1359999999</v>
      </c>
    </row>
    <row r="55" spans="1:8">
      <c r="A55" s="5" t="s">
        <v>622</v>
      </c>
      <c r="C55" s="12">
        <v>0</v>
      </c>
      <c r="D55" s="6">
        <f>'08_Cost_Model'!D21*(1+0)</f>
        <v>2462580</v>
      </c>
      <c r="E55" s="6">
        <f>'08_Cost_Model'!E21*(1+0)</f>
        <v>2611953</v>
      </c>
      <c r="F55" s="6">
        <f>'08_Cost_Model'!F21*(1+0)</f>
        <v>2770224.1380000003</v>
      </c>
      <c r="G55" s="6">
        <f>'08_Cost_Model'!G21*(1+0)</f>
        <v>2931515.6293800003</v>
      </c>
      <c r="H55" s="6">
        <f>'08_Cost_Model'!H21*(1+0)</f>
        <v>3098781.8626698013</v>
      </c>
    </row>
    <row r="56" spans="1:8">
      <c r="A56" s="16" t="s">
        <v>623</v>
      </c>
      <c r="C56" s="12">
        <v>0</v>
      </c>
      <c r="D56" s="43">
        <f>D53-D54-D55</f>
        <v>-324180</v>
      </c>
      <c r="E56" s="43">
        <f>E53-E54-E55</f>
        <v>82431</v>
      </c>
      <c r="F56" s="43">
        <f>F53-F54-F55</f>
        <v>530396.26199999964</v>
      </c>
      <c r="G56" s="43">
        <f>G53-G54-G55</f>
        <v>831191.62662000116</v>
      </c>
      <c r="H56" s="43">
        <f>H53-H54-H55</f>
        <v>1059999.8413301986</v>
      </c>
    </row>
    <row r="57" spans="1:8">
      <c r="A57" s="5" t="s">
        <v>731</v>
      </c>
      <c r="C57" s="12">
        <v>0</v>
      </c>
      <c r="D57" s="6">
        <f>'09_Assets_Depreciation'!D20</f>
        <v>333550</v>
      </c>
      <c r="E57" s="6">
        <f>'09_Assets_Depreciation'!E20</f>
        <v>333550</v>
      </c>
      <c r="F57" s="6">
        <f>'09_Assets_Depreciation'!F20</f>
        <v>333550</v>
      </c>
      <c r="G57" s="6">
        <f>'09_Assets_Depreciation'!G20</f>
        <v>333550</v>
      </c>
      <c r="H57" s="6">
        <f>'09_Assets_Depreciation'!H20</f>
        <v>313550</v>
      </c>
    </row>
    <row r="58" spans="1:8">
      <c r="A58" s="5" t="s">
        <v>625</v>
      </c>
      <c r="C58" s="12">
        <v>0</v>
      </c>
      <c r="D58" s="12">
        <f>D56-D57</f>
        <v>-657730</v>
      </c>
      <c r="E58" s="12">
        <f>E56-E57</f>
        <v>-251119</v>
      </c>
      <c r="F58" s="12">
        <f>F56-F57</f>
        <v>196846.26199999964</v>
      </c>
      <c r="G58" s="12">
        <f>G56-G57</f>
        <v>497641.62662000116</v>
      </c>
      <c r="H58" s="12">
        <f>H56-H57</f>
        <v>746449.84133019857</v>
      </c>
    </row>
    <row r="59" spans="1:8">
      <c r="A59" s="5" t="s">
        <v>657</v>
      </c>
      <c r="C59" s="12">
        <v>0</v>
      </c>
      <c r="D59" s="6">
        <f>MAX(0,D58)*'04_Assumptions'!$C$40</f>
        <v>0</v>
      </c>
      <c r="E59" s="6">
        <f>MAX(0,E58)*'04_Assumptions'!$C$40</f>
        <v>0</v>
      </c>
      <c r="F59" s="6">
        <f>MAX(0,F58)*'04_Assumptions'!$C$40</f>
        <v>49546.204145399905</v>
      </c>
      <c r="G59" s="6">
        <f>MAX(0,G58)*'04_Assumptions'!$C$40</f>
        <v>125256.39742025429</v>
      </c>
      <c r="H59" s="6">
        <f>MAX(0,H58)*'04_Assumptions'!$C$40</f>
        <v>187881.42506281097</v>
      </c>
    </row>
    <row r="60" spans="1:8">
      <c r="A60" s="5" t="s">
        <v>732</v>
      </c>
      <c r="C60" s="12">
        <v>0</v>
      </c>
      <c r="D60" s="12">
        <f>D58-D59</f>
        <v>-657730</v>
      </c>
      <c r="E60" s="12">
        <f>E58-E59</f>
        <v>-251119</v>
      </c>
      <c r="F60" s="12">
        <f>F58-F59</f>
        <v>147300.05785459973</v>
      </c>
      <c r="G60" s="12">
        <f>G58-G59</f>
        <v>372385.22919974686</v>
      </c>
      <c r="H60" s="12">
        <f>H58-H59</f>
        <v>558568.41626738757</v>
      </c>
    </row>
    <row r="61" spans="1:8">
      <c r="A61" s="5" t="s">
        <v>733</v>
      </c>
      <c r="C61" s="12">
        <v>0</v>
      </c>
      <c r="D61" s="6">
        <f>D53*'04_Assumptions'!$C$42/365+D54*'04_Assumptions'!$C$43/365-D54*'04_Assumptions'!$C$44/365</f>
        <v>7811.5068493150684</v>
      </c>
      <c r="E61" s="6">
        <f>E53*'04_Assumptions'!$C$42/365+E54*'04_Assumptions'!$C$43/365-E54*'04_Assumptions'!$C$44/365</f>
        <v>9842.4986301369863</v>
      </c>
      <c r="F61" s="6">
        <f>F53*'04_Assumptions'!$C$42/365+F54*'04_Assumptions'!$C$43/365-F54*'04_Assumptions'!$C$44/365</f>
        <v>12057.060821917803</v>
      </c>
      <c r="G61" s="6">
        <f>G53*'04_Assumptions'!$C$42/365+G54*'04_Assumptions'!$C$43/365-G54*'04_Assumptions'!$C$44/365</f>
        <v>13745.049336986311</v>
      </c>
      <c r="H61" s="6">
        <f>H53*'04_Assumptions'!$C$42/365+H54*'04_Assumptions'!$C$43/365-H54*'04_Assumptions'!$C$44/365</f>
        <v>15191.896635616431</v>
      </c>
    </row>
    <row r="62" spans="1:8">
      <c r="A62" s="5" t="s">
        <v>734</v>
      </c>
      <c r="C62" s="12">
        <v>0</v>
      </c>
      <c r="D62" s="12">
        <f>D61-C61</f>
        <v>7811.5068493150684</v>
      </c>
      <c r="E62" s="12">
        <f>E61-D61</f>
        <v>2030.9917808219179</v>
      </c>
      <c r="F62" s="12">
        <f>F61-E61</f>
        <v>2214.5621917808166</v>
      </c>
      <c r="G62" s="12">
        <f>G61-F61</f>
        <v>1687.9885150685077</v>
      </c>
      <c r="H62" s="12">
        <f>H61-G61</f>
        <v>1446.8472986301203</v>
      </c>
    </row>
    <row r="63" spans="1:8">
      <c r="A63" s="5" t="s">
        <v>735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6">
        <f>'15_Project_FCF'!H14+'15_Project_FCF'!H15+'15_Project_FCF'!H16</f>
        <v>958342.5</v>
      </c>
    </row>
    <row r="64" spans="1:8">
      <c r="A64" s="16" t="s">
        <v>673</v>
      </c>
      <c r="C64" s="76">
        <f>'15_Project_FCF'!C17</f>
        <v>-2929530</v>
      </c>
      <c r="D64" s="43">
        <f>D60+D57-D62+D63</f>
        <v>-331991.50684931508</v>
      </c>
      <c r="E64" s="43">
        <f>E60+E57-E62+E63</f>
        <v>80400.008219178082</v>
      </c>
      <c r="F64" s="43">
        <f>F60+F57-F62+F63</f>
        <v>478635.4956628189</v>
      </c>
      <c r="G64" s="43">
        <f>G60+G57-G62+G63</f>
        <v>704247.24068467831</v>
      </c>
      <c r="H64" s="43">
        <f>H60+H57-H62+H63</f>
        <v>1829014.0689687575</v>
      </c>
    </row>
    <row r="65" spans="1:8">
      <c r="A65" s="5" t="s">
        <v>736</v>
      </c>
      <c r="C65" s="12">
        <f>C64</f>
        <v>-2929530</v>
      </c>
      <c r="D65" s="12">
        <f>C65+D64</f>
        <v>-3261521.506849315</v>
      </c>
      <c r="E65" s="12">
        <f>D65+E64</f>
        <v>-3181121.4986301367</v>
      </c>
      <c r="F65" s="12">
        <f>E65+F64</f>
        <v>-2702486.0029673176</v>
      </c>
      <c r="G65" s="12">
        <f>F65+G64</f>
        <v>-1998238.7622826393</v>
      </c>
      <c r="H65" s="12">
        <f>G65+H64</f>
        <v>-169224.69331388175</v>
      </c>
    </row>
    <row r="66" spans="1:8">
      <c r="A66" s="5" t="s">
        <v>737</v>
      </c>
      <c r="D66" s="26">
        <f>IF(AND(C65&lt;0,D65&gt;=0),0+(-C65)/D64,0)</f>
        <v>0</v>
      </c>
      <c r="E66" s="26">
        <f>IF(AND(D65&lt;0,E65&gt;=0),1+(-D65)/E64,0)</f>
        <v>0</v>
      </c>
      <c r="F66" s="26">
        <f>IF(AND(E65&lt;0,F65&gt;=0),2+(-E65)/F64,0)</f>
        <v>0</v>
      </c>
      <c r="G66" s="26">
        <f>IF(AND(F65&lt;0,G65&gt;=0),3+(-F65)/G64,0)</f>
        <v>0</v>
      </c>
      <c r="H66" s="26">
        <f>IF(AND(G65&lt;0,H65&gt;=0),4+(-G65)/H64,0)</f>
        <v>0</v>
      </c>
    </row>
    <row r="67" spans="1:8">
      <c r="A67" s="16" t="s">
        <v>724</v>
      </c>
      <c r="C67" s="76">
        <f>C64+NPV('04_Assumptions'!$C$74,D64:H64)</f>
        <v>-1423256.4893102557</v>
      </c>
    </row>
    <row r="68" spans="1:8">
      <c r="A68" s="16" t="s">
        <v>725</v>
      </c>
      <c r="C68" s="77">
        <f>IFERROR(IRR(C64:H64),"n/a")</f>
        <v>-1.2352208247347361E-2</v>
      </c>
    </row>
    <row r="69" spans="1:8">
      <c r="A69" s="16" t="s">
        <v>738</v>
      </c>
      <c r="C69" s="78" t="str">
        <f>IF(SUM(D66:H66)=0,"&gt; 5 yrs",SUM(D66:H66))</f>
        <v>&gt; 5 yrs</v>
      </c>
    </row>
    <row r="72" spans="1:8">
      <c r="A72" s="55" t="s">
        <v>758</v>
      </c>
      <c r="B72" s="74"/>
      <c r="C72" s="75" t="s">
        <v>406</v>
      </c>
      <c r="D72" s="75" t="s">
        <v>276</v>
      </c>
      <c r="E72" s="75" t="s">
        <v>495</v>
      </c>
      <c r="F72" s="75" t="s">
        <v>496</v>
      </c>
      <c r="G72" s="75" t="s">
        <v>497</v>
      </c>
      <c r="H72" s="75" t="s">
        <v>465</v>
      </c>
    </row>
    <row r="73" spans="1:8">
      <c r="A73" s="5" t="s">
        <v>608</v>
      </c>
      <c r="C73" s="12">
        <v>0</v>
      </c>
      <c r="D73" s="6">
        <f>'07_Revenue_Model'!D11*(1+0)*(1+$E$6)</f>
        <v>3960000</v>
      </c>
      <c r="E73" s="6">
        <f>'07_Revenue_Model'!E11*(1+0)*(1+$E$6)</f>
        <v>4989600</v>
      </c>
      <c r="F73" s="6">
        <f>'07_Revenue_Model'!F11*(1+0)*(1+$E$6)</f>
        <v>6112260</v>
      </c>
      <c r="G73" s="6">
        <f>'07_Revenue_Model'!G11*(1+0)*(1+$E$6)</f>
        <v>6967976.4000000013</v>
      </c>
      <c r="H73" s="6">
        <f>'07_Revenue_Model'!H11*(1+0)*(1+$E$6)</f>
        <v>7701447.5999999996</v>
      </c>
    </row>
    <row r="74" spans="1:8">
      <c r="A74" s="5" t="s">
        <v>610</v>
      </c>
      <c r="C74" s="12">
        <v>0</v>
      </c>
      <c r="D74" s="6">
        <f>'08_Cost_Model'!D9*(1+0)*(1+0)</f>
        <v>1425600</v>
      </c>
      <c r="E74" s="6">
        <f>'08_Cost_Model'!E9*(1+0)*(1+0)</f>
        <v>1796256</v>
      </c>
      <c r="F74" s="6">
        <f>'08_Cost_Model'!F9*(1+0)*(1+0)</f>
        <v>2200413.6</v>
      </c>
      <c r="G74" s="6">
        <f>'08_Cost_Model'!G9*(1+0)*(1+0)</f>
        <v>2508471.5040000002</v>
      </c>
      <c r="H74" s="6">
        <f>'08_Cost_Model'!H9*(1+0)*(1+0)</f>
        <v>2772521.1359999999</v>
      </c>
    </row>
    <row r="75" spans="1:8">
      <c r="A75" s="5" t="s">
        <v>622</v>
      </c>
      <c r="C75" s="12">
        <v>0</v>
      </c>
      <c r="D75" s="6">
        <f>'08_Cost_Model'!D21*(1+0)</f>
        <v>2462580</v>
      </c>
      <c r="E75" s="6">
        <f>'08_Cost_Model'!E21*(1+0)</f>
        <v>2611953</v>
      </c>
      <c r="F75" s="6">
        <f>'08_Cost_Model'!F21*(1+0)</f>
        <v>2770224.1380000003</v>
      </c>
      <c r="G75" s="6">
        <f>'08_Cost_Model'!G21*(1+0)</f>
        <v>2931515.6293800003</v>
      </c>
      <c r="H75" s="6">
        <f>'08_Cost_Model'!H21*(1+0)</f>
        <v>3098781.8626698013</v>
      </c>
    </row>
    <row r="76" spans="1:8">
      <c r="A76" s="16" t="s">
        <v>623</v>
      </c>
      <c r="C76" s="12">
        <v>0</v>
      </c>
      <c r="D76" s="43">
        <f>D73-D74-D75</f>
        <v>71820</v>
      </c>
      <c r="E76" s="43">
        <f>E73-E74-E75</f>
        <v>581391</v>
      </c>
      <c r="F76" s="43">
        <f>F73-F74-F75</f>
        <v>1141622.2619999996</v>
      </c>
      <c r="G76" s="43">
        <f>G73-G74-G75</f>
        <v>1527989.2666200013</v>
      </c>
      <c r="H76" s="43">
        <f>H73-H74-H75</f>
        <v>1830144.6013301983</v>
      </c>
    </row>
    <row r="77" spans="1:8">
      <c r="A77" s="5" t="s">
        <v>731</v>
      </c>
      <c r="C77" s="12">
        <v>0</v>
      </c>
      <c r="D77" s="6">
        <f>'09_Assets_Depreciation'!D20</f>
        <v>333550</v>
      </c>
      <c r="E77" s="6">
        <f>'09_Assets_Depreciation'!E20</f>
        <v>333550</v>
      </c>
      <c r="F77" s="6">
        <f>'09_Assets_Depreciation'!F20</f>
        <v>333550</v>
      </c>
      <c r="G77" s="6">
        <f>'09_Assets_Depreciation'!G20</f>
        <v>333550</v>
      </c>
      <c r="H77" s="6">
        <f>'09_Assets_Depreciation'!H20</f>
        <v>313550</v>
      </c>
    </row>
    <row r="78" spans="1:8">
      <c r="A78" s="5" t="s">
        <v>625</v>
      </c>
      <c r="C78" s="12">
        <v>0</v>
      </c>
      <c r="D78" s="12">
        <f>D76-D77</f>
        <v>-261730</v>
      </c>
      <c r="E78" s="12">
        <f>E76-E77</f>
        <v>247841</v>
      </c>
      <c r="F78" s="12">
        <f>F76-F77</f>
        <v>808072.26199999964</v>
      </c>
      <c r="G78" s="12">
        <f>G76-G77</f>
        <v>1194439.2666200013</v>
      </c>
      <c r="H78" s="12">
        <f>H76-H77</f>
        <v>1516594.6013301983</v>
      </c>
    </row>
    <row r="79" spans="1:8">
      <c r="A79" s="5" t="s">
        <v>657</v>
      </c>
      <c r="C79" s="12">
        <v>0</v>
      </c>
      <c r="D79" s="6">
        <f>MAX(0,D78)*'04_Assumptions'!$C$40</f>
        <v>0</v>
      </c>
      <c r="E79" s="6">
        <f>MAX(0,E78)*'04_Assumptions'!$C$40</f>
        <v>62381.579699999995</v>
      </c>
      <c r="F79" s="6">
        <f>MAX(0,F78)*'04_Assumptions'!$C$40</f>
        <v>203391.78834539989</v>
      </c>
      <c r="G79" s="6">
        <f>MAX(0,G78)*'04_Assumptions'!$C$40</f>
        <v>300640.36340825428</v>
      </c>
      <c r="H79" s="6">
        <f>MAX(0,H78)*'04_Assumptions'!$C$40</f>
        <v>381726.86115481087</v>
      </c>
    </row>
    <row r="80" spans="1:8">
      <c r="A80" s="5" t="s">
        <v>732</v>
      </c>
      <c r="C80" s="12">
        <v>0</v>
      </c>
      <c r="D80" s="12">
        <f>D78-D79</f>
        <v>-261730</v>
      </c>
      <c r="E80" s="12">
        <f>E78-E79</f>
        <v>185459.4203</v>
      </c>
      <c r="F80" s="12">
        <f>F78-F79</f>
        <v>604680.47365459974</v>
      </c>
      <c r="G80" s="12">
        <f>G78-G79</f>
        <v>893798.90321174706</v>
      </c>
      <c r="H80" s="12">
        <f>H78-H79</f>
        <v>1134867.7401753874</v>
      </c>
    </row>
    <row r="81" spans="1:8">
      <c r="A81" s="5" t="s">
        <v>733</v>
      </c>
      <c r="C81" s="12">
        <v>0</v>
      </c>
      <c r="D81" s="6">
        <f>D73*'04_Assumptions'!$C$42/365+D74*'04_Assumptions'!$C$43/365-D74*'04_Assumptions'!$C$44/365</f>
        <v>9981.3698630137005</v>
      </c>
      <c r="E81" s="6">
        <f>E73*'04_Assumptions'!$C$42/365+E74*'04_Assumptions'!$C$43/365-E74*'04_Assumptions'!$C$44/365</f>
        <v>12576.52602739726</v>
      </c>
      <c r="F81" s="6">
        <f>F73*'04_Assumptions'!$C$42/365+F74*'04_Assumptions'!$C$43/365-F74*'04_Assumptions'!$C$44/365</f>
        <v>15406.244383561636</v>
      </c>
      <c r="G81" s="6">
        <f>G73*'04_Assumptions'!$C$42/365+G74*'04_Assumptions'!$C$43/365-G74*'04_Assumptions'!$C$44/365</f>
        <v>17563.118597260283</v>
      </c>
      <c r="H81" s="6">
        <f>H73*'04_Assumptions'!$C$42/365+H74*'04_Assumptions'!$C$43/365-H74*'04_Assumptions'!$C$44/365</f>
        <v>19411.867923287675</v>
      </c>
    </row>
    <row r="82" spans="1:8">
      <c r="A82" s="5" t="s">
        <v>734</v>
      </c>
      <c r="C82" s="12">
        <v>0</v>
      </c>
      <c r="D82" s="12">
        <f>D81-C81</f>
        <v>9981.3698630137005</v>
      </c>
      <c r="E82" s="12">
        <f>E81-D81</f>
        <v>2595.1561643835594</v>
      </c>
      <c r="F82" s="12">
        <f>F81-E81</f>
        <v>2829.718356164376</v>
      </c>
      <c r="G82" s="12">
        <f>G81-F81</f>
        <v>2156.8742136986475</v>
      </c>
      <c r="H82" s="12">
        <f>H81-G81</f>
        <v>1848.7493260273914</v>
      </c>
    </row>
    <row r="83" spans="1:8">
      <c r="A83" s="5" t="s">
        <v>735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6">
        <f>'15_Project_FCF'!H14+'15_Project_FCF'!H15+'15_Project_FCF'!H16</f>
        <v>958342.5</v>
      </c>
    </row>
    <row r="84" spans="1:8">
      <c r="A84" s="16" t="s">
        <v>673</v>
      </c>
      <c r="C84" s="76">
        <f>'15_Project_FCF'!C17</f>
        <v>-2929530</v>
      </c>
      <c r="D84" s="43">
        <f>D80+D77-D82+D83</f>
        <v>61838.630136986299</v>
      </c>
      <c r="E84" s="43">
        <f>E80+E77-E82+E83</f>
        <v>516414.26413561642</v>
      </c>
      <c r="F84" s="43">
        <f>F80+F77-F82+F83</f>
        <v>935400.75529843534</v>
      </c>
      <c r="G84" s="43">
        <f>G80+G77-G82+G83</f>
        <v>1225192.0289980485</v>
      </c>
      <c r="H84" s="43">
        <f>H80+H77-H82+H83</f>
        <v>2404911.4908493599</v>
      </c>
    </row>
    <row r="85" spans="1:8">
      <c r="A85" s="5" t="s">
        <v>736</v>
      </c>
      <c r="C85" s="12">
        <f>C84</f>
        <v>-2929530</v>
      </c>
      <c r="D85" s="12">
        <f>C85+D84</f>
        <v>-2867691.3698630137</v>
      </c>
      <c r="E85" s="12">
        <f>D85+E84</f>
        <v>-2351277.1057273974</v>
      </c>
      <c r="F85" s="12">
        <f>E85+F84</f>
        <v>-1415876.3504289621</v>
      </c>
      <c r="G85" s="12">
        <f>F85+G84</f>
        <v>-190684.32143091364</v>
      </c>
      <c r="H85" s="12">
        <f>G85+H84</f>
        <v>2214227.1694184463</v>
      </c>
    </row>
    <row r="86" spans="1:8">
      <c r="A86" s="5" t="s">
        <v>737</v>
      </c>
      <c r="D86" s="26">
        <f>IF(AND(C85&lt;0,D85&gt;=0),0+(-C85)/D84,0)</f>
        <v>0</v>
      </c>
      <c r="E86" s="26">
        <f>IF(AND(D85&lt;0,E85&gt;=0),1+(-D85)/E84,0)</f>
        <v>0</v>
      </c>
      <c r="F86" s="26">
        <f>IF(AND(E85&lt;0,F85&gt;=0),2+(-E85)/F84,0)</f>
        <v>0</v>
      </c>
      <c r="G86" s="26">
        <f>IF(AND(F85&lt;0,G85&gt;=0),3+(-F85)/G84,0)</f>
        <v>0</v>
      </c>
      <c r="H86" s="26">
        <f>IF(AND(G85&lt;0,H85&gt;=0),4+(-G85)/H84,0)</f>
        <v>4.0792895381624081</v>
      </c>
    </row>
    <row r="87" spans="1:8">
      <c r="A87" s="16" t="s">
        <v>724</v>
      </c>
      <c r="C87" s="76">
        <f>C84+NPV('04_Assumptions'!$C$74,D84:H84)</f>
        <v>203004.09969634889</v>
      </c>
    </row>
    <row r="88" spans="1:8">
      <c r="A88" s="16" t="s">
        <v>725</v>
      </c>
      <c r="C88" s="77">
        <f>IFERROR(IRR(C84:H84),"n/a")</f>
        <v>0.15261854563751551</v>
      </c>
    </row>
    <row r="89" spans="1:8">
      <c r="A89" s="16" t="s">
        <v>738</v>
      </c>
      <c r="C89" s="78">
        <f>IF(SUM(D86:H86)=0,"&gt; 5 yrs",SUM(D86:H86))</f>
        <v>4.0792895381624081</v>
      </c>
    </row>
    <row r="92" spans="1:8">
      <c r="A92" s="55" t="s">
        <v>759</v>
      </c>
      <c r="B92" s="74"/>
      <c r="C92" s="75" t="s">
        <v>406</v>
      </c>
      <c r="D92" s="75" t="s">
        <v>276</v>
      </c>
      <c r="E92" s="75" t="s">
        <v>495</v>
      </c>
      <c r="F92" s="75" t="s">
        <v>496</v>
      </c>
      <c r="G92" s="75" t="s">
        <v>497</v>
      </c>
      <c r="H92" s="75" t="s">
        <v>465</v>
      </c>
    </row>
    <row r="93" spans="1:8">
      <c r="A93" s="5" t="s">
        <v>608</v>
      </c>
      <c r="C93" s="12">
        <v>0</v>
      </c>
      <c r="D93" s="6">
        <f>'07_Revenue_Model'!D11*(1+0)*(1+$F$6)</f>
        <v>4356000</v>
      </c>
      <c r="E93" s="6">
        <f>'07_Revenue_Model'!E11*(1+0)*(1+$F$6)</f>
        <v>5488560</v>
      </c>
      <c r="F93" s="6">
        <f>'07_Revenue_Model'!F11*(1+0)*(1+$F$6)</f>
        <v>6723486.0000000009</v>
      </c>
      <c r="G93" s="6">
        <f>'07_Revenue_Model'!G11*(1+0)*(1+$F$6)</f>
        <v>7664774.0400000019</v>
      </c>
      <c r="H93" s="6">
        <f>'07_Revenue_Model'!H11*(1+0)*(1+$F$6)</f>
        <v>8471592.3599999994</v>
      </c>
    </row>
    <row r="94" spans="1:8">
      <c r="A94" s="5" t="s">
        <v>610</v>
      </c>
      <c r="C94" s="12">
        <v>0</v>
      </c>
      <c r="D94" s="6">
        <f>'08_Cost_Model'!D9*(1+0)*(1+0)</f>
        <v>1425600</v>
      </c>
      <c r="E94" s="6">
        <f>'08_Cost_Model'!E9*(1+0)*(1+0)</f>
        <v>1796256</v>
      </c>
      <c r="F94" s="6">
        <f>'08_Cost_Model'!F9*(1+0)*(1+0)</f>
        <v>2200413.6</v>
      </c>
      <c r="G94" s="6">
        <f>'08_Cost_Model'!G9*(1+0)*(1+0)</f>
        <v>2508471.5040000002</v>
      </c>
      <c r="H94" s="6">
        <f>'08_Cost_Model'!H9*(1+0)*(1+0)</f>
        <v>2772521.1359999999</v>
      </c>
    </row>
    <row r="95" spans="1:8">
      <c r="A95" s="5" t="s">
        <v>622</v>
      </c>
      <c r="C95" s="12">
        <v>0</v>
      </c>
      <c r="D95" s="6">
        <f>'08_Cost_Model'!D21*(1+0)</f>
        <v>2462580</v>
      </c>
      <c r="E95" s="6">
        <f>'08_Cost_Model'!E21*(1+0)</f>
        <v>2611953</v>
      </c>
      <c r="F95" s="6">
        <f>'08_Cost_Model'!F21*(1+0)</f>
        <v>2770224.1380000003</v>
      </c>
      <c r="G95" s="6">
        <f>'08_Cost_Model'!G21*(1+0)</f>
        <v>2931515.6293800003</v>
      </c>
      <c r="H95" s="6">
        <f>'08_Cost_Model'!H21*(1+0)</f>
        <v>3098781.8626698013</v>
      </c>
    </row>
    <row r="96" spans="1:8">
      <c r="A96" s="16" t="s">
        <v>623</v>
      </c>
      <c r="C96" s="12">
        <v>0</v>
      </c>
      <c r="D96" s="43">
        <f>D93-D94-D95</f>
        <v>467820</v>
      </c>
      <c r="E96" s="43">
        <f>E93-E94-E95</f>
        <v>1080351</v>
      </c>
      <c r="F96" s="43">
        <f>F93-F94-F95</f>
        <v>1752848.2620000001</v>
      </c>
      <c r="G96" s="43">
        <f>G93-G94-G95</f>
        <v>2224786.9066200019</v>
      </c>
      <c r="H96" s="43">
        <f>H93-H94-H95</f>
        <v>2600289.3613301981</v>
      </c>
    </row>
    <row r="97" spans="1:8">
      <c r="A97" s="5" t="s">
        <v>731</v>
      </c>
      <c r="C97" s="12">
        <v>0</v>
      </c>
      <c r="D97" s="6">
        <f>'09_Assets_Depreciation'!D20</f>
        <v>333550</v>
      </c>
      <c r="E97" s="6">
        <f>'09_Assets_Depreciation'!E20</f>
        <v>333550</v>
      </c>
      <c r="F97" s="6">
        <f>'09_Assets_Depreciation'!F20</f>
        <v>333550</v>
      </c>
      <c r="G97" s="6">
        <f>'09_Assets_Depreciation'!G20</f>
        <v>333550</v>
      </c>
      <c r="H97" s="6">
        <f>'09_Assets_Depreciation'!H20</f>
        <v>313550</v>
      </c>
    </row>
    <row r="98" spans="1:8">
      <c r="A98" s="5" t="s">
        <v>625</v>
      </c>
      <c r="C98" s="12">
        <v>0</v>
      </c>
      <c r="D98" s="12">
        <f>D96-D97</f>
        <v>134270</v>
      </c>
      <c r="E98" s="12">
        <f>E96-E97</f>
        <v>746801</v>
      </c>
      <c r="F98" s="12">
        <f>F96-F97</f>
        <v>1419298.2620000001</v>
      </c>
      <c r="G98" s="12">
        <f>G96-G97</f>
        <v>1891236.9066200019</v>
      </c>
      <c r="H98" s="12">
        <f>H96-H97</f>
        <v>2286739.3613301981</v>
      </c>
    </row>
    <row r="99" spans="1:8">
      <c r="A99" s="5" t="s">
        <v>657</v>
      </c>
      <c r="C99" s="12">
        <v>0</v>
      </c>
      <c r="D99" s="6">
        <f>MAX(0,D98)*'04_Assumptions'!$C$40</f>
        <v>33795.758999999998</v>
      </c>
      <c r="E99" s="6">
        <f>MAX(0,E98)*'04_Assumptions'!$C$40</f>
        <v>187969.81169999999</v>
      </c>
      <c r="F99" s="6">
        <f>MAX(0,F98)*'04_Assumptions'!$C$40</f>
        <v>357237.37254539999</v>
      </c>
      <c r="G99" s="6">
        <f>MAX(0,G98)*'04_Assumptions'!$C$40</f>
        <v>476024.32939625444</v>
      </c>
      <c r="H99" s="6">
        <f>MAX(0,H98)*'04_Assumptions'!$C$40</f>
        <v>575572.29724681086</v>
      </c>
    </row>
    <row r="100" spans="1:8">
      <c r="A100" s="5" t="s">
        <v>732</v>
      </c>
      <c r="C100" s="12">
        <v>0</v>
      </c>
      <c r="D100" s="12">
        <f>D98-D99</f>
        <v>100474.24100000001</v>
      </c>
      <c r="E100" s="12">
        <f>E98-E99</f>
        <v>558831.18830000004</v>
      </c>
      <c r="F100" s="12">
        <f>F98-F99</f>
        <v>1062060.8894546002</v>
      </c>
      <c r="G100" s="12">
        <f>G98-G99</f>
        <v>1415212.5772237475</v>
      </c>
      <c r="H100" s="12">
        <f>H98-H99</f>
        <v>1711167.0640833871</v>
      </c>
    </row>
    <row r="101" spans="1:8">
      <c r="A101" s="5" t="s">
        <v>733</v>
      </c>
      <c r="C101" s="12">
        <v>0</v>
      </c>
      <c r="D101" s="6">
        <f>D93*'04_Assumptions'!$C$42/365+D94*'04_Assumptions'!$C$43/365-D94*'04_Assumptions'!$C$44/365</f>
        <v>12151.232876712333</v>
      </c>
      <c r="E101" s="6">
        <f>E93*'04_Assumptions'!$C$42/365+E94*'04_Assumptions'!$C$43/365-E94*'04_Assumptions'!$C$44/365</f>
        <v>15310.553424657533</v>
      </c>
      <c r="F101" s="6">
        <f>F93*'04_Assumptions'!$C$42/365+F94*'04_Assumptions'!$C$43/365-F94*'04_Assumptions'!$C$44/365</f>
        <v>18755.427945205483</v>
      </c>
      <c r="G101" s="6">
        <f>G93*'04_Assumptions'!$C$42/365+G94*'04_Assumptions'!$C$43/365-G94*'04_Assumptions'!$C$44/365</f>
        <v>21381.187857534256</v>
      </c>
      <c r="H101" s="6">
        <f>H93*'04_Assumptions'!$C$42/365+H94*'04_Assumptions'!$C$43/365-H94*'04_Assumptions'!$C$44/365</f>
        <v>23631.839210958904</v>
      </c>
    </row>
    <row r="102" spans="1:8">
      <c r="A102" s="5" t="s">
        <v>734</v>
      </c>
      <c r="C102" s="12">
        <v>0</v>
      </c>
      <c r="D102" s="12">
        <f>D101-C101</f>
        <v>12151.232876712333</v>
      </c>
      <c r="E102" s="12">
        <f>E101-D101</f>
        <v>3159.3205479452008</v>
      </c>
      <c r="F102" s="12">
        <f>F101-E101</f>
        <v>3444.8745205479499</v>
      </c>
      <c r="G102" s="12">
        <f>G101-F101</f>
        <v>2625.7599123287728</v>
      </c>
      <c r="H102" s="12">
        <f>H101-G101</f>
        <v>2250.6513534246478</v>
      </c>
    </row>
    <row r="103" spans="1:8">
      <c r="A103" s="5" t="s">
        <v>735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6">
        <f>'15_Project_FCF'!H14+'15_Project_FCF'!H15+'15_Project_FCF'!H16</f>
        <v>958342.5</v>
      </c>
    </row>
    <row r="104" spans="1:8">
      <c r="A104" s="16" t="s">
        <v>673</v>
      </c>
      <c r="C104" s="76">
        <f>'15_Project_FCF'!C17</f>
        <v>-2929530</v>
      </c>
      <c r="D104" s="43">
        <f>D100+D97-D102+D103</f>
        <v>421873.0081232877</v>
      </c>
      <c r="E104" s="43">
        <f>E100+E97-E102+E103</f>
        <v>889221.86775205482</v>
      </c>
      <c r="F104" s="43">
        <f>F100+F97-F102+F103</f>
        <v>1392166.0149340522</v>
      </c>
      <c r="G104" s="43">
        <f>G100+G97-G102+G103</f>
        <v>1746136.8173114187</v>
      </c>
      <c r="H104" s="43">
        <f>H100+H97-H102+H103</f>
        <v>2980808.9127299627</v>
      </c>
    </row>
    <row r="105" spans="1:8">
      <c r="A105" s="5" t="s">
        <v>736</v>
      </c>
      <c r="C105" s="12">
        <f>C104</f>
        <v>-2929530</v>
      </c>
      <c r="D105" s="12">
        <f>C105+D104</f>
        <v>-2507656.9918767121</v>
      </c>
      <c r="E105" s="12">
        <f>D105+E104</f>
        <v>-1618435.1241246574</v>
      </c>
      <c r="F105" s="12">
        <f>E105+F104</f>
        <v>-226269.10919060512</v>
      </c>
      <c r="G105" s="12">
        <f>F105+G104</f>
        <v>1519867.7081208136</v>
      </c>
      <c r="H105" s="12">
        <f>G105+H104</f>
        <v>4500676.6208507763</v>
      </c>
    </row>
    <row r="106" spans="1:8">
      <c r="A106" s="5" t="s">
        <v>737</v>
      </c>
      <c r="D106" s="26">
        <f>IF(AND(C105&lt;0,D105&gt;=0),0+(-C105)/D104,0)</f>
        <v>0</v>
      </c>
      <c r="E106" s="26">
        <f>IF(AND(D105&lt;0,E105&gt;=0),1+(-D105)/E104,0)</f>
        <v>0</v>
      </c>
      <c r="F106" s="26">
        <f>IF(AND(E105&lt;0,F105&gt;=0),2+(-E105)/F104,0)</f>
        <v>0</v>
      </c>
      <c r="G106" s="26">
        <f>IF(AND(F105&lt;0,G105&gt;=0),3+(-F105)/G104,0)</f>
        <v>3.1295826918872249</v>
      </c>
      <c r="H106" s="26">
        <f>IF(AND(G105&lt;0,H105&gt;=0),4+(-G105)/H104,0)</f>
        <v>0</v>
      </c>
    </row>
    <row r="107" spans="1:8">
      <c r="A107" s="16" t="s">
        <v>724</v>
      </c>
      <c r="C107" s="76">
        <f>C104+NPV('04_Assumptions'!$C$74,D104:H104)</f>
        <v>1750188.2107113348</v>
      </c>
    </row>
    <row r="108" spans="1:8">
      <c r="A108" s="16" t="s">
        <v>725</v>
      </c>
      <c r="C108" s="77">
        <f>IFERROR(IRR(C104:H104),"n/a")</f>
        <v>0.2958947538218421</v>
      </c>
    </row>
    <row r="109" spans="1:8">
      <c r="A109" s="16" t="s">
        <v>738</v>
      </c>
      <c r="C109" s="78">
        <f>IF(SUM(D106:H106)=0,"&gt; 5 yrs",SUM(D106:H106))</f>
        <v>3.1295826918872249</v>
      </c>
    </row>
    <row r="112" spans="1:8">
      <c r="A112" s="55" t="s">
        <v>760</v>
      </c>
      <c r="B112" s="74"/>
      <c r="C112" s="75" t="s">
        <v>406</v>
      </c>
      <c r="D112" s="75" t="s">
        <v>276</v>
      </c>
      <c r="E112" s="75" t="s">
        <v>495</v>
      </c>
      <c r="F112" s="75" t="s">
        <v>496</v>
      </c>
      <c r="G112" s="75" t="s">
        <v>497</v>
      </c>
      <c r="H112" s="75" t="s">
        <v>465</v>
      </c>
    </row>
    <row r="113" spans="1:8">
      <c r="A113" s="5" t="s">
        <v>608</v>
      </c>
      <c r="C113" s="12">
        <v>0</v>
      </c>
      <c r="D113" s="6">
        <f>'07_Revenue_Model'!D11*(1+0)*(1+$G$6)</f>
        <v>4752000</v>
      </c>
      <c r="E113" s="6">
        <f>'07_Revenue_Model'!E11*(1+0)*(1+$G$6)</f>
        <v>5987520</v>
      </c>
      <c r="F113" s="6">
        <f>'07_Revenue_Model'!F11*(1+0)*(1+$G$6)</f>
        <v>7334712</v>
      </c>
      <c r="G113" s="6">
        <f>'07_Revenue_Model'!G11*(1+0)*(1+$G$6)</f>
        <v>8361571.6800000016</v>
      </c>
      <c r="H113" s="6">
        <f>'07_Revenue_Model'!H11*(1+0)*(1+$G$6)</f>
        <v>9241737.1199999992</v>
      </c>
    </row>
    <row r="114" spans="1:8">
      <c r="A114" s="5" t="s">
        <v>610</v>
      </c>
      <c r="C114" s="12">
        <v>0</v>
      </c>
      <c r="D114" s="6">
        <f>'08_Cost_Model'!D9*(1+0)*(1+0)</f>
        <v>1425600</v>
      </c>
      <c r="E114" s="6">
        <f>'08_Cost_Model'!E9*(1+0)*(1+0)</f>
        <v>1796256</v>
      </c>
      <c r="F114" s="6">
        <f>'08_Cost_Model'!F9*(1+0)*(1+0)</f>
        <v>2200413.6</v>
      </c>
      <c r="G114" s="6">
        <f>'08_Cost_Model'!G9*(1+0)*(1+0)</f>
        <v>2508471.5040000002</v>
      </c>
      <c r="H114" s="6">
        <f>'08_Cost_Model'!H9*(1+0)*(1+0)</f>
        <v>2772521.1359999999</v>
      </c>
    </row>
    <row r="115" spans="1:8">
      <c r="A115" s="5" t="s">
        <v>622</v>
      </c>
      <c r="C115" s="12">
        <v>0</v>
      </c>
      <c r="D115" s="6">
        <f>'08_Cost_Model'!D21*(1+0)</f>
        <v>2462580</v>
      </c>
      <c r="E115" s="6">
        <f>'08_Cost_Model'!E21*(1+0)</f>
        <v>2611953</v>
      </c>
      <c r="F115" s="6">
        <f>'08_Cost_Model'!F21*(1+0)</f>
        <v>2770224.1380000003</v>
      </c>
      <c r="G115" s="6">
        <f>'08_Cost_Model'!G21*(1+0)</f>
        <v>2931515.6293800003</v>
      </c>
      <c r="H115" s="6">
        <f>'08_Cost_Model'!H21*(1+0)</f>
        <v>3098781.8626698013</v>
      </c>
    </row>
    <row r="116" spans="1:8">
      <c r="A116" s="16" t="s">
        <v>623</v>
      </c>
      <c r="C116" s="12">
        <v>0</v>
      </c>
      <c r="D116" s="43">
        <f>D113-D114-D115</f>
        <v>863820</v>
      </c>
      <c r="E116" s="43">
        <f>E113-E114-E115</f>
        <v>1579311</v>
      </c>
      <c r="F116" s="43">
        <f>F113-F114-F115</f>
        <v>2364074.2620000001</v>
      </c>
      <c r="G116" s="43">
        <f>G113-G114-G115</f>
        <v>2921584.5466200006</v>
      </c>
      <c r="H116" s="43">
        <f>H113-H114-H115</f>
        <v>3370434.1213301979</v>
      </c>
    </row>
    <row r="117" spans="1:8">
      <c r="A117" s="5" t="s">
        <v>731</v>
      </c>
      <c r="C117" s="12">
        <v>0</v>
      </c>
      <c r="D117" s="6">
        <f>'09_Assets_Depreciation'!D20</f>
        <v>333550</v>
      </c>
      <c r="E117" s="6">
        <f>'09_Assets_Depreciation'!E20</f>
        <v>333550</v>
      </c>
      <c r="F117" s="6">
        <f>'09_Assets_Depreciation'!F20</f>
        <v>333550</v>
      </c>
      <c r="G117" s="6">
        <f>'09_Assets_Depreciation'!G20</f>
        <v>333550</v>
      </c>
      <c r="H117" s="6">
        <f>'09_Assets_Depreciation'!H20</f>
        <v>313550</v>
      </c>
    </row>
    <row r="118" spans="1:8">
      <c r="A118" s="5" t="s">
        <v>625</v>
      </c>
      <c r="C118" s="12">
        <v>0</v>
      </c>
      <c r="D118" s="12">
        <f>D116-D117</f>
        <v>530270</v>
      </c>
      <c r="E118" s="12">
        <f>E116-E117</f>
        <v>1245761</v>
      </c>
      <c r="F118" s="12">
        <f>F116-F117</f>
        <v>2030524.2620000001</v>
      </c>
      <c r="G118" s="12">
        <f>G116-G117</f>
        <v>2588034.5466200006</v>
      </c>
      <c r="H118" s="12">
        <f>H116-H117</f>
        <v>3056884.1213301979</v>
      </c>
    </row>
    <row r="119" spans="1:8">
      <c r="A119" s="5" t="s">
        <v>657</v>
      </c>
      <c r="C119" s="12">
        <v>0</v>
      </c>
      <c r="D119" s="6">
        <f>MAX(0,D118)*'04_Assumptions'!$C$40</f>
        <v>133468.959</v>
      </c>
      <c r="E119" s="6">
        <f>MAX(0,E118)*'04_Assumptions'!$C$40</f>
        <v>313558.04369999998</v>
      </c>
      <c r="F119" s="6">
        <f>MAX(0,F118)*'04_Assumptions'!$C$40</f>
        <v>511082.95674539998</v>
      </c>
      <c r="G119" s="6">
        <f>MAX(0,G118)*'04_Assumptions'!$C$40</f>
        <v>651408.29538425407</v>
      </c>
      <c r="H119" s="6">
        <f>MAX(0,H118)*'04_Assumptions'!$C$40</f>
        <v>769417.73333881074</v>
      </c>
    </row>
    <row r="120" spans="1:8">
      <c r="A120" s="5" t="s">
        <v>732</v>
      </c>
      <c r="C120" s="12">
        <v>0</v>
      </c>
      <c r="D120" s="12">
        <f>D118-D119</f>
        <v>396801.04099999997</v>
      </c>
      <c r="E120" s="12">
        <f>E118-E119</f>
        <v>932202.95629999996</v>
      </c>
      <c r="F120" s="12">
        <f>F118-F119</f>
        <v>1519441.3052546</v>
      </c>
      <c r="G120" s="12">
        <f>G118-G119</f>
        <v>1936626.2512357465</v>
      </c>
      <c r="H120" s="12">
        <f>H118-H119</f>
        <v>2287466.3879913874</v>
      </c>
    </row>
    <row r="121" spans="1:8">
      <c r="A121" s="5" t="s">
        <v>733</v>
      </c>
      <c r="C121" s="12">
        <v>0</v>
      </c>
      <c r="D121" s="6">
        <f>D113*'04_Assumptions'!$C$42/365+D114*'04_Assumptions'!$C$43/365-D114*'04_Assumptions'!$C$44/365</f>
        <v>14321.095890410958</v>
      </c>
      <c r="E121" s="6">
        <f>E113*'04_Assumptions'!$C$42/365+E114*'04_Assumptions'!$C$43/365-E114*'04_Assumptions'!$C$44/365</f>
        <v>18044.580821917807</v>
      </c>
      <c r="F121" s="6">
        <f>F113*'04_Assumptions'!$C$42/365+F114*'04_Assumptions'!$C$43/365-F114*'04_Assumptions'!$C$44/365</f>
        <v>22104.611506849302</v>
      </c>
      <c r="G121" s="6">
        <f>G113*'04_Assumptions'!$C$42/365+G114*'04_Assumptions'!$C$43/365-G114*'04_Assumptions'!$C$44/365</f>
        <v>25199.257117808229</v>
      </c>
      <c r="H121" s="6">
        <f>H113*'04_Assumptions'!$C$42/365+H114*'04_Assumptions'!$C$43/365-H114*'04_Assumptions'!$C$44/365</f>
        <v>27851.810498630133</v>
      </c>
    </row>
    <row r="122" spans="1:8">
      <c r="A122" s="5" t="s">
        <v>734</v>
      </c>
      <c r="C122" s="12">
        <v>0</v>
      </c>
      <c r="D122" s="12">
        <f>D121-C121</f>
        <v>14321.095890410958</v>
      </c>
      <c r="E122" s="12">
        <f>E121-D121</f>
        <v>3723.4849315068495</v>
      </c>
      <c r="F122" s="12">
        <f>F121-E121</f>
        <v>4060.0306849314948</v>
      </c>
      <c r="G122" s="12">
        <f>G121-F121</f>
        <v>3094.6456109589271</v>
      </c>
      <c r="H122" s="12">
        <f>H121-G121</f>
        <v>2652.5533808219043</v>
      </c>
    </row>
    <row r="123" spans="1:8">
      <c r="A123" s="5" t="s">
        <v>735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6">
        <f>'15_Project_FCF'!H14+'15_Project_FCF'!H15+'15_Project_FCF'!H16</f>
        <v>958342.5</v>
      </c>
    </row>
    <row r="124" spans="1:8">
      <c r="A124" s="16" t="s">
        <v>673</v>
      </c>
      <c r="C124" s="76">
        <f>'15_Project_FCF'!C17</f>
        <v>-2929530</v>
      </c>
      <c r="D124" s="43">
        <f>D120+D117-D122+D123</f>
        <v>716029.94510958903</v>
      </c>
      <c r="E124" s="43">
        <f>E120+E117-E122+E123</f>
        <v>1262029.471368493</v>
      </c>
      <c r="F124" s="43">
        <f>F120+F117-F122+F123</f>
        <v>1848931.2745696686</v>
      </c>
      <c r="G124" s="43">
        <f>G120+G117-G122+G123</f>
        <v>2267081.605624788</v>
      </c>
      <c r="H124" s="43">
        <f>H120+H117-H122+H123</f>
        <v>3556706.3346105656</v>
      </c>
    </row>
    <row r="125" spans="1:8">
      <c r="A125" s="5" t="s">
        <v>736</v>
      </c>
      <c r="C125" s="12">
        <f>C124</f>
        <v>-2929530</v>
      </c>
      <c r="D125" s="12">
        <f>C125+D124</f>
        <v>-2213500.054890411</v>
      </c>
      <c r="E125" s="12">
        <f>D125+E124</f>
        <v>-951470.58352191793</v>
      </c>
      <c r="F125" s="12">
        <f>E125+F124</f>
        <v>897460.69104775065</v>
      </c>
      <c r="G125" s="12">
        <f>F125+G124</f>
        <v>3164542.2966725389</v>
      </c>
      <c r="H125" s="12">
        <f>G125+H124</f>
        <v>6721248.6312831044</v>
      </c>
    </row>
    <row r="126" spans="1:8">
      <c r="A126" s="5" t="s">
        <v>737</v>
      </c>
      <c r="D126" s="26">
        <f>IF(AND(C125&lt;0,D125&gt;=0),0+(-C125)/D124,0)</f>
        <v>0</v>
      </c>
      <c r="E126" s="26">
        <f>IF(AND(D125&lt;0,E125&gt;=0),1+(-D125)/E124,0)</f>
        <v>0</v>
      </c>
      <c r="F126" s="26">
        <f>IF(AND(E125&lt;0,F125&gt;=0),2+(-E125)/F124,0)</f>
        <v>2.5146057057979991</v>
      </c>
      <c r="G126" s="26">
        <f>IF(AND(F125&lt;0,G125&gt;=0),3+(-F125)/G124,0)</f>
        <v>0</v>
      </c>
      <c r="H126" s="26">
        <f>IF(AND(G125&lt;0,H125&gt;=0),4+(-G125)/H124,0)</f>
        <v>0</v>
      </c>
    </row>
    <row r="127" spans="1:8">
      <c r="A127" s="16" t="s">
        <v>724</v>
      </c>
      <c r="C127" s="76">
        <f>C124+NPV('04_Assumptions'!$C$74,D124:H124)</f>
        <v>3239223.7042219182</v>
      </c>
    </row>
    <row r="128" spans="1:8">
      <c r="A128" s="16" t="s">
        <v>725</v>
      </c>
      <c r="C128" s="77">
        <f>IFERROR(IRR(C124:H124),"n/a")</f>
        <v>0.42316448280661545</v>
      </c>
    </row>
    <row r="129" spans="1:8">
      <c r="A129" s="16" t="s">
        <v>738</v>
      </c>
      <c r="C129" s="78">
        <f>IF(SUM(D126:H126)=0,"&gt; 5 yrs",SUM(D126:H126))</f>
        <v>2.5146057057979991</v>
      </c>
    </row>
    <row r="132" spans="1:8">
      <c r="A132" s="55" t="s">
        <v>761</v>
      </c>
      <c r="B132" s="74"/>
      <c r="C132" s="75" t="s">
        <v>406</v>
      </c>
      <c r="D132" s="75" t="s">
        <v>276</v>
      </c>
      <c r="E132" s="75" t="s">
        <v>495</v>
      </c>
      <c r="F132" s="75" t="s">
        <v>496</v>
      </c>
      <c r="G132" s="75" t="s">
        <v>497</v>
      </c>
      <c r="H132" s="75" t="s">
        <v>465</v>
      </c>
    </row>
    <row r="133" spans="1:8">
      <c r="A133" s="5" t="s">
        <v>608</v>
      </c>
      <c r="C133" s="12">
        <v>0</v>
      </c>
      <c r="D133" s="6">
        <f>'07_Revenue_Model'!D11*(1+$C$6)*(1+0)</f>
        <v>3168000</v>
      </c>
      <c r="E133" s="6">
        <f>'07_Revenue_Model'!E11*(1+$C$6)*(1+0)</f>
        <v>3991680</v>
      </c>
      <c r="F133" s="6">
        <f>'07_Revenue_Model'!F11*(1+$C$6)*(1+0)</f>
        <v>4889808</v>
      </c>
      <c r="G133" s="6">
        <f>'07_Revenue_Model'!G11*(1+$C$6)*(1+0)</f>
        <v>5574381.120000001</v>
      </c>
      <c r="H133" s="6">
        <f>'07_Revenue_Model'!H11*(1+$C$6)*(1+0)</f>
        <v>6161158.0800000001</v>
      </c>
    </row>
    <row r="134" spans="1:8">
      <c r="A134" s="5" t="s">
        <v>610</v>
      </c>
      <c r="C134" s="12">
        <v>0</v>
      </c>
      <c r="D134" s="6">
        <f>'08_Cost_Model'!D9*(1+$C$6)*(1+0)</f>
        <v>1140480</v>
      </c>
      <c r="E134" s="6">
        <f>'08_Cost_Model'!E9*(1+$C$6)*(1+0)</f>
        <v>1437004.8</v>
      </c>
      <c r="F134" s="6">
        <f>'08_Cost_Model'!F9*(1+$C$6)*(1+0)</f>
        <v>1760330.8800000001</v>
      </c>
      <c r="G134" s="6">
        <f>'08_Cost_Model'!G9*(1+$C$6)*(1+0)</f>
        <v>2006777.2032000003</v>
      </c>
      <c r="H134" s="6">
        <f>'08_Cost_Model'!H9*(1+$C$6)*(1+0)</f>
        <v>2218016.9087999999</v>
      </c>
    </row>
    <row r="135" spans="1:8">
      <c r="A135" s="5" t="s">
        <v>622</v>
      </c>
      <c r="C135" s="12">
        <v>0</v>
      </c>
      <c r="D135" s="6">
        <f>'08_Cost_Model'!D21*(1+0)</f>
        <v>2462580</v>
      </c>
      <c r="E135" s="6">
        <f>'08_Cost_Model'!E21*(1+0)</f>
        <v>2611953</v>
      </c>
      <c r="F135" s="6">
        <f>'08_Cost_Model'!F21*(1+0)</f>
        <v>2770224.1380000003</v>
      </c>
      <c r="G135" s="6">
        <f>'08_Cost_Model'!G21*(1+0)</f>
        <v>2931515.6293800003</v>
      </c>
      <c r="H135" s="6">
        <f>'08_Cost_Model'!H21*(1+0)</f>
        <v>3098781.8626698013</v>
      </c>
    </row>
    <row r="136" spans="1:8">
      <c r="A136" s="16" t="s">
        <v>623</v>
      </c>
      <c r="C136" s="12">
        <v>0</v>
      </c>
      <c r="D136" s="43">
        <f>D133-D134-D135</f>
        <v>-435060</v>
      </c>
      <c r="E136" s="43">
        <f>E133-E134-E135</f>
        <v>-57277.799999999814</v>
      </c>
      <c r="F136" s="43">
        <f>F133-F134-F135</f>
        <v>359252.98199999984</v>
      </c>
      <c r="G136" s="43">
        <f>G133-G134-G135</f>
        <v>636088.28742000042</v>
      </c>
      <c r="H136" s="43">
        <f>H133-H134-H135</f>
        <v>844359.30853019888</v>
      </c>
    </row>
    <row r="137" spans="1:8">
      <c r="A137" s="5" t="s">
        <v>731</v>
      </c>
      <c r="C137" s="12">
        <v>0</v>
      </c>
      <c r="D137" s="6">
        <f>'09_Assets_Depreciation'!D20</f>
        <v>333550</v>
      </c>
      <c r="E137" s="6">
        <f>'09_Assets_Depreciation'!E20</f>
        <v>333550</v>
      </c>
      <c r="F137" s="6">
        <f>'09_Assets_Depreciation'!F20</f>
        <v>333550</v>
      </c>
      <c r="G137" s="6">
        <f>'09_Assets_Depreciation'!G20</f>
        <v>333550</v>
      </c>
      <c r="H137" s="6">
        <f>'09_Assets_Depreciation'!H20</f>
        <v>313550</v>
      </c>
    </row>
    <row r="138" spans="1:8">
      <c r="A138" s="5" t="s">
        <v>625</v>
      </c>
      <c r="C138" s="12">
        <v>0</v>
      </c>
      <c r="D138" s="12">
        <f>D136-D137</f>
        <v>-768610</v>
      </c>
      <c r="E138" s="12">
        <f>E136-E137</f>
        <v>-390827.79999999981</v>
      </c>
      <c r="F138" s="12">
        <f>F136-F137</f>
        <v>25702.981999999844</v>
      </c>
      <c r="G138" s="12">
        <f>G136-G137</f>
        <v>302538.28742000042</v>
      </c>
      <c r="H138" s="12">
        <f>H136-H137</f>
        <v>530809.30853019888</v>
      </c>
    </row>
    <row r="139" spans="1:8">
      <c r="A139" s="5" t="s">
        <v>657</v>
      </c>
      <c r="C139" s="12">
        <v>0</v>
      </c>
      <c r="D139" s="6">
        <f>MAX(0,D138)*'04_Assumptions'!$C$40</f>
        <v>0</v>
      </c>
      <c r="E139" s="6">
        <f>MAX(0,E138)*'04_Assumptions'!$C$40</f>
        <v>0</v>
      </c>
      <c r="F139" s="6">
        <f>MAX(0,F138)*'04_Assumptions'!$C$40</f>
        <v>6469.4405693999597</v>
      </c>
      <c r="G139" s="6">
        <f>MAX(0,G138)*'04_Assumptions'!$C$40</f>
        <v>76148.886943614096</v>
      </c>
      <c r="H139" s="6">
        <f>MAX(0,H138)*'04_Assumptions'!$C$40</f>
        <v>133604.70295705105</v>
      </c>
    </row>
    <row r="140" spans="1:8">
      <c r="A140" s="5" t="s">
        <v>732</v>
      </c>
      <c r="C140" s="12">
        <v>0</v>
      </c>
      <c r="D140" s="12">
        <f>D138-D139</f>
        <v>-768610</v>
      </c>
      <c r="E140" s="12">
        <f>E138-E139</f>
        <v>-390827.79999999981</v>
      </c>
      <c r="F140" s="12">
        <f>F138-F139</f>
        <v>19233.541430599886</v>
      </c>
      <c r="G140" s="12">
        <f>G138-G139</f>
        <v>226389.4004763863</v>
      </c>
      <c r="H140" s="12">
        <f>H138-H139</f>
        <v>397204.60557314783</v>
      </c>
    </row>
    <row r="141" spans="1:8">
      <c r="A141" s="5" t="s">
        <v>733</v>
      </c>
      <c r="C141" s="12">
        <v>0</v>
      </c>
      <c r="D141" s="6">
        <f>D133*'04_Assumptions'!$C$42/365+D134*'04_Assumptions'!$C$43/365-D134*'04_Assumptions'!$C$44/365</f>
        <v>7985.0958904109575</v>
      </c>
      <c r="E141" s="6">
        <f>E133*'04_Assumptions'!$C$42/365+E134*'04_Assumptions'!$C$43/365-E134*'04_Assumptions'!$C$44/365</f>
        <v>10061.220821917806</v>
      </c>
      <c r="F141" s="6">
        <f>F133*'04_Assumptions'!$C$42/365+F134*'04_Assumptions'!$C$43/365-F134*'04_Assumptions'!$C$44/365</f>
        <v>12324.995506849315</v>
      </c>
      <c r="G141" s="6">
        <f>G133*'04_Assumptions'!$C$42/365+G134*'04_Assumptions'!$C$43/365-G134*'04_Assumptions'!$C$44/365</f>
        <v>14050.494877808211</v>
      </c>
      <c r="H141" s="6">
        <f>H133*'04_Assumptions'!$C$42/365+H134*'04_Assumptions'!$C$43/365-H134*'04_Assumptions'!$C$44/365</f>
        <v>15529.494338630131</v>
      </c>
    </row>
    <row r="142" spans="1:8">
      <c r="A142" s="5" t="s">
        <v>734</v>
      </c>
      <c r="C142" s="12">
        <v>0</v>
      </c>
      <c r="D142" s="12">
        <f>D141-C141</f>
        <v>7985.0958904109575</v>
      </c>
      <c r="E142" s="12">
        <f>E141-D141</f>
        <v>2076.124931506849</v>
      </c>
      <c r="F142" s="12">
        <f>F141-E141</f>
        <v>2263.7746849315081</v>
      </c>
      <c r="G142" s="12">
        <f>G141-F141</f>
        <v>1725.4993709588962</v>
      </c>
      <c r="H142" s="12">
        <f>H141-G141</f>
        <v>1478.9994608219204</v>
      </c>
    </row>
    <row r="143" spans="1:8">
      <c r="A143" s="5" t="s">
        <v>735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6">
        <f>'15_Project_FCF'!H14+'15_Project_FCF'!H15+'15_Project_FCF'!H16</f>
        <v>958342.5</v>
      </c>
    </row>
    <row r="144" spans="1:8">
      <c r="A144" s="16" t="s">
        <v>673</v>
      </c>
      <c r="C144" s="76">
        <f>'15_Project_FCF'!C17</f>
        <v>-2929530</v>
      </c>
      <c r="D144" s="43">
        <f>D140+D137-D142+D143</f>
        <v>-443045.09589041094</v>
      </c>
      <c r="E144" s="43">
        <f>E140+E137-E142+E143</f>
        <v>-59353.924931506663</v>
      </c>
      <c r="F144" s="43">
        <f>F140+F137-F142+F143</f>
        <v>350519.76674566837</v>
      </c>
      <c r="G144" s="43">
        <f>G140+G137-G142+G143</f>
        <v>558213.90110542742</v>
      </c>
      <c r="H144" s="43">
        <f>H140+H137-H142+H143</f>
        <v>1667618.1061123258</v>
      </c>
    </row>
    <row r="145" spans="1:8">
      <c r="A145" s="5" t="s">
        <v>736</v>
      </c>
      <c r="C145" s="12">
        <f>C144</f>
        <v>-2929530</v>
      </c>
      <c r="D145" s="12">
        <f>C145+D144</f>
        <v>-3372575.0958904112</v>
      </c>
      <c r="E145" s="12">
        <f>D145+E144</f>
        <v>-3431929.0208219178</v>
      </c>
      <c r="F145" s="12">
        <f>E145+F144</f>
        <v>-3081409.2540762494</v>
      </c>
      <c r="G145" s="12">
        <f>F145+G144</f>
        <v>-2523195.3529708218</v>
      </c>
      <c r="H145" s="12">
        <f>G145+H144</f>
        <v>-855577.24685849599</v>
      </c>
    </row>
    <row r="146" spans="1:8">
      <c r="A146" s="5" t="s">
        <v>737</v>
      </c>
      <c r="D146" s="26">
        <f>IF(AND(C145&lt;0,D145&gt;=0),0+(-C145)/D144,0)</f>
        <v>0</v>
      </c>
      <c r="E146" s="26">
        <f>IF(AND(D145&lt;0,E145&gt;=0),1+(-D145)/E144,0)</f>
        <v>0</v>
      </c>
      <c r="F146" s="26">
        <f>IF(AND(E145&lt;0,F145&gt;=0),2+(-E145)/F144,0)</f>
        <v>0</v>
      </c>
      <c r="G146" s="26">
        <f>IF(AND(F145&lt;0,G145&gt;=0),3+(-F145)/G144,0)</f>
        <v>0</v>
      </c>
      <c r="H146" s="26">
        <f>IF(AND(G145&lt;0,H145&gt;=0),4+(-G145)/H144,0)</f>
        <v>0</v>
      </c>
    </row>
    <row r="147" spans="1:8">
      <c r="A147" s="16" t="s">
        <v>724</v>
      </c>
      <c r="C147" s="76">
        <f>C144+NPV('04_Assumptions'!$C$74,D144:H144)</f>
        <v>-1893398.2843170953</v>
      </c>
    </row>
    <row r="148" spans="1:8">
      <c r="A148" s="16" t="s">
        <v>725</v>
      </c>
      <c r="C148" s="77">
        <f>IFERROR(IRR(C144:H144),"n/a")</f>
        <v>-6.3671147525445559E-2</v>
      </c>
    </row>
    <row r="149" spans="1:8">
      <c r="A149" s="16" t="s">
        <v>738</v>
      </c>
      <c r="C149" s="78" t="str">
        <f>IF(SUM(D146:H146)=0,"&gt; 5 yrs",SUM(D146:H146))</f>
        <v>&gt; 5 yrs</v>
      </c>
    </row>
    <row r="152" spans="1:8">
      <c r="A152" s="55" t="s">
        <v>762</v>
      </c>
      <c r="B152" s="74"/>
      <c r="C152" s="75" t="s">
        <v>406</v>
      </c>
      <c r="D152" s="75" t="s">
        <v>276</v>
      </c>
      <c r="E152" s="75" t="s">
        <v>495</v>
      </c>
      <c r="F152" s="75" t="s">
        <v>496</v>
      </c>
      <c r="G152" s="75" t="s">
        <v>497</v>
      </c>
      <c r="H152" s="75" t="s">
        <v>465</v>
      </c>
    </row>
    <row r="153" spans="1:8">
      <c r="A153" s="5" t="s">
        <v>608</v>
      </c>
      <c r="C153" s="12">
        <v>0</v>
      </c>
      <c r="D153" s="6">
        <f>'07_Revenue_Model'!D11*(1+$D$6)*(1+0)</f>
        <v>3564000</v>
      </c>
      <c r="E153" s="6">
        <f>'07_Revenue_Model'!E11*(1+$D$6)*(1+0)</f>
        <v>4490640</v>
      </c>
      <c r="F153" s="6">
        <f>'07_Revenue_Model'!F11*(1+$D$6)*(1+0)</f>
        <v>5501034</v>
      </c>
      <c r="G153" s="6">
        <f>'07_Revenue_Model'!G11*(1+$D$6)*(1+0)</f>
        <v>6271178.7600000016</v>
      </c>
      <c r="H153" s="6">
        <f>'07_Revenue_Model'!H11*(1+$D$6)*(1+0)</f>
        <v>6931302.8399999999</v>
      </c>
    </row>
    <row r="154" spans="1:8">
      <c r="A154" s="5" t="s">
        <v>610</v>
      </c>
      <c r="C154" s="12">
        <v>0</v>
      </c>
      <c r="D154" s="6">
        <f>'08_Cost_Model'!D9*(1+$D$6)*(1+0)</f>
        <v>1283040</v>
      </c>
      <c r="E154" s="6">
        <f>'08_Cost_Model'!E9*(1+$D$6)*(1+0)</f>
        <v>1616630.4000000001</v>
      </c>
      <c r="F154" s="6">
        <f>'08_Cost_Model'!F9*(1+$D$6)*(1+0)</f>
        <v>1980372.2400000002</v>
      </c>
      <c r="G154" s="6">
        <f>'08_Cost_Model'!G9*(1+$D$6)*(1+0)</f>
        <v>2257624.3536</v>
      </c>
      <c r="H154" s="6">
        <f>'08_Cost_Model'!H9*(1+$D$6)*(1+0)</f>
        <v>2495269.0224000001</v>
      </c>
    </row>
    <row r="155" spans="1:8">
      <c r="A155" s="5" t="s">
        <v>622</v>
      </c>
      <c r="C155" s="12">
        <v>0</v>
      </c>
      <c r="D155" s="6">
        <f>'08_Cost_Model'!D21*(1+0)</f>
        <v>2462580</v>
      </c>
      <c r="E155" s="6">
        <f>'08_Cost_Model'!E21*(1+0)</f>
        <v>2611953</v>
      </c>
      <c r="F155" s="6">
        <f>'08_Cost_Model'!F21*(1+0)</f>
        <v>2770224.1380000003</v>
      </c>
      <c r="G155" s="6">
        <f>'08_Cost_Model'!G21*(1+0)</f>
        <v>2931515.6293800003</v>
      </c>
      <c r="H155" s="6">
        <f>'08_Cost_Model'!H21*(1+0)</f>
        <v>3098781.8626698013</v>
      </c>
    </row>
    <row r="156" spans="1:8">
      <c r="A156" s="16" t="s">
        <v>623</v>
      </c>
      <c r="C156" s="12">
        <v>0</v>
      </c>
      <c r="D156" s="43">
        <f>D153-D154-D155</f>
        <v>-181620</v>
      </c>
      <c r="E156" s="43">
        <f>E153-E154-E155</f>
        <v>262056.59999999963</v>
      </c>
      <c r="F156" s="43">
        <f>F153-F154-F155</f>
        <v>750437.62199999951</v>
      </c>
      <c r="G156" s="43">
        <f>G153-G154-G155</f>
        <v>1082038.7770200013</v>
      </c>
      <c r="H156" s="43">
        <f>H153-H154-H155</f>
        <v>1337251.9549301984</v>
      </c>
    </row>
    <row r="157" spans="1:8">
      <c r="A157" s="5" t="s">
        <v>731</v>
      </c>
      <c r="C157" s="12">
        <v>0</v>
      </c>
      <c r="D157" s="6">
        <f>'09_Assets_Depreciation'!D20</f>
        <v>333550</v>
      </c>
      <c r="E157" s="6">
        <f>'09_Assets_Depreciation'!E20</f>
        <v>333550</v>
      </c>
      <c r="F157" s="6">
        <f>'09_Assets_Depreciation'!F20</f>
        <v>333550</v>
      </c>
      <c r="G157" s="6">
        <f>'09_Assets_Depreciation'!G20</f>
        <v>333550</v>
      </c>
      <c r="H157" s="6">
        <f>'09_Assets_Depreciation'!H20</f>
        <v>313550</v>
      </c>
    </row>
    <row r="158" spans="1:8">
      <c r="A158" s="5" t="s">
        <v>625</v>
      </c>
      <c r="C158" s="12">
        <v>0</v>
      </c>
      <c r="D158" s="12">
        <f>D156-D157</f>
        <v>-515170</v>
      </c>
      <c r="E158" s="12">
        <f>E156-E157</f>
        <v>-71493.400000000373</v>
      </c>
      <c r="F158" s="12">
        <f>F156-F157</f>
        <v>416887.62199999951</v>
      </c>
      <c r="G158" s="12">
        <f>G156-G157</f>
        <v>748488.77702000132</v>
      </c>
      <c r="H158" s="12">
        <f>H156-H157</f>
        <v>1023701.9549301984</v>
      </c>
    </row>
    <row r="159" spans="1:8">
      <c r="A159" s="5" t="s">
        <v>657</v>
      </c>
      <c r="C159" s="12">
        <v>0</v>
      </c>
      <c r="D159" s="6">
        <f>MAX(0,D158)*'04_Assumptions'!$C$40</f>
        <v>0</v>
      </c>
      <c r="E159" s="6">
        <f>MAX(0,E158)*'04_Assumptions'!$C$40</f>
        <v>0</v>
      </c>
      <c r="F159" s="6">
        <f>MAX(0,F158)*'04_Assumptions'!$C$40</f>
        <v>104930.61445739986</v>
      </c>
      <c r="G159" s="6">
        <f>MAX(0,G158)*'04_Assumptions'!$C$40</f>
        <v>188394.62517593431</v>
      </c>
      <c r="H159" s="6">
        <f>MAX(0,H158)*'04_Assumptions'!$C$40</f>
        <v>257665.7820559309</v>
      </c>
    </row>
    <row r="160" spans="1:8">
      <c r="A160" s="5" t="s">
        <v>732</v>
      </c>
      <c r="C160" s="12">
        <v>0</v>
      </c>
      <c r="D160" s="12">
        <f>D158-D159</f>
        <v>-515170</v>
      </c>
      <c r="E160" s="12">
        <f>E158-E159</f>
        <v>-71493.400000000373</v>
      </c>
      <c r="F160" s="12">
        <f>F158-F159</f>
        <v>311957.00754259963</v>
      </c>
      <c r="G160" s="12">
        <f>G158-G159</f>
        <v>560094.15184406703</v>
      </c>
      <c r="H160" s="12">
        <f>H158-H159</f>
        <v>766036.17287426745</v>
      </c>
    </row>
    <row r="161" spans="1:8">
      <c r="A161" s="5" t="s">
        <v>733</v>
      </c>
      <c r="C161" s="12">
        <v>0</v>
      </c>
      <c r="D161" s="6">
        <f>D153*'04_Assumptions'!$C$42/365+D154*'04_Assumptions'!$C$43/365-D154*'04_Assumptions'!$C$44/365</f>
        <v>8983.2328767123254</v>
      </c>
      <c r="E161" s="6">
        <f>E153*'04_Assumptions'!$C$42/365+E154*'04_Assumptions'!$C$43/365-E154*'04_Assumptions'!$C$44/365</f>
        <v>11318.873424657533</v>
      </c>
      <c r="F161" s="6">
        <f>F153*'04_Assumptions'!$C$42/365+F154*'04_Assumptions'!$C$43/365-F154*'04_Assumptions'!$C$44/365</f>
        <v>13865.619945205472</v>
      </c>
      <c r="G161" s="6">
        <f>G153*'04_Assumptions'!$C$42/365+G154*'04_Assumptions'!$C$43/365-G154*'04_Assumptions'!$C$44/365</f>
        <v>15806.806737534258</v>
      </c>
      <c r="H161" s="6">
        <f>H153*'04_Assumptions'!$C$42/365+H154*'04_Assumptions'!$C$43/365-H154*'04_Assumptions'!$C$44/365</f>
        <v>17470.68113095891</v>
      </c>
    </row>
    <row r="162" spans="1:8">
      <c r="A162" s="5" t="s">
        <v>734</v>
      </c>
      <c r="C162" s="12">
        <v>0</v>
      </c>
      <c r="D162" s="12">
        <f>D161-C161</f>
        <v>8983.2328767123254</v>
      </c>
      <c r="E162" s="12">
        <f>E161-D161</f>
        <v>2335.6405479452078</v>
      </c>
      <c r="F162" s="12">
        <f>F161-E161</f>
        <v>2546.7465205479384</v>
      </c>
      <c r="G162" s="12">
        <f>G161-F161</f>
        <v>1941.1867923287864</v>
      </c>
      <c r="H162" s="12">
        <f>H161-G161</f>
        <v>1663.8743934246522</v>
      </c>
    </row>
    <row r="163" spans="1:8">
      <c r="A163" s="5" t="s">
        <v>735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6">
        <f>'15_Project_FCF'!H14+'15_Project_FCF'!H15+'15_Project_FCF'!H16</f>
        <v>958342.5</v>
      </c>
    </row>
    <row r="164" spans="1:8">
      <c r="A164" s="16" t="s">
        <v>673</v>
      </c>
      <c r="C164" s="76">
        <f>'15_Project_FCF'!C17</f>
        <v>-2929530</v>
      </c>
      <c r="D164" s="43">
        <f>D160+D157-D162+D163</f>
        <v>-190603.23287671234</v>
      </c>
      <c r="E164" s="43">
        <f>E160+E157-E162+E163</f>
        <v>259720.95945205441</v>
      </c>
      <c r="F164" s="43">
        <f>F160+F157-F162+F163</f>
        <v>642960.2610220518</v>
      </c>
      <c r="G164" s="43">
        <f>G160+G157-G162+G163</f>
        <v>891702.9650517382</v>
      </c>
      <c r="H164" s="43">
        <f>H160+H157-H162+H163</f>
        <v>2036264.7984808427</v>
      </c>
    </row>
    <row r="165" spans="1:8">
      <c r="A165" s="5" t="s">
        <v>736</v>
      </c>
      <c r="C165" s="12">
        <f>C164</f>
        <v>-2929530</v>
      </c>
      <c r="D165" s="12">
        <f>C165+D164</f>
        <v>-3120133.2328767125</v>
      </c>
      <c r="E165" s="12">
        <f>D165+E164</f>
        <v>-2860412.273424658</v>
      </c>
      <c r="F165" s="12">
        <f>E165+F164</f>
        <v>-2217452.0124026062</v>
      </c>
      <c r="G165" s="12">
        <f>F165+G164</f>
        <v>-1325749.0473508681</v>
      </c>
      <c r="H165" s="12">
        <f>G165+H164</f>
        <v>710515.75112997461</v>
      </c>
    </row>
    <row r="166" spans="1:8">
      <c r="A166" s="5" t="s">
        <v>737</v>
      </c>
      <c r="D166" s="26">
        <f>IF(AND(C165&lt;0,D165&gt;=0),0+(-C165)/D164,0)</f>
        <v>0</v>
      </c>
      <c r="E166" s="26">
        <f>IF(AND(D165&lt;0,E165&gt;=0),1+(-D165)/E164,0)</f>
        <v>0</v>
      </c>
      <c r="F166" s="26">
        <f>IF(AND(E165&lt;0,F165&gt;=0),2+(-E165)/F164,0)</f>
        <v>0</v>
      </c>
      <c r="G166" s="26">
        <f>IF(AND(F165&lt;0,G165&gt;=0),3+(-F165)/G164,0)</f>
        <v>0</v>
      </c>
      <c r="H166" s="26">
        <f>IF(AND(G165&lt;0,H165&gt;=0),4+(-G165)/H164,0)</f>
        <v>4.6510690791983169</v>
      </c>
    </row>
    <row r="167" spans="1:8">
      <c r="A167" s="16" t="s">
        <v>724</v>
      </c>
      <c r="C167" s="76">
        <f>C164+NPV('04_Assumptions'!$C$74,D164:H164)</f>
        <v>-820895.66854522983</v>
      </c>
    </row>
    <row r="168" spans="1:8">
      <c r="A168" s="16" t="s">
        <v>725</v>
      </c>
      <c r="C168" s="77">
        <f>IFERROR(IRR(C164:H164),"n/a")</f>
        <v>5.0736127461885827E-2</v>
      </c>
    </row>
    <row r="169" spans="1:8">
      <c r="A169" s="16" t="s">
        <v>738</v>
      </c>
      <c r="C169" s="78">
        <f>IF(SUM(D166:H166)=0,"&gt; 5 yrs",SUM(D166:H166))</f>
        <v>4.6510690791983169</v>
      </c>
    </row>
    <row r="172" spans="1:8">
      <c r="A172" s="55" t="s">
        <v>763</v>
      </c>
      <c r="B172" s="74"/>
      <c r="C172" s="75" t="s">
        <v>406</v>
      </c>
      <c r="D172" s="75" t="s">
        <v>276</v>
      </c>
      <c r="E172" s="75" t="s">
        <v>495</v>
      </c>
      <c r="F172" s="75" t="s">
        <v>496</v>
      </c>
      <c r="G172" s="75" t="s">
        <v>497</v>
      </c>
      <c r="H172" s="75" t="s">
        <v>465</v>
      </c>
    </row>
    <row r="173" spans="1:8">
      <c r="A173" s="5" t="s">
        <v>608</v>
      </c>
      <c r="C173" s="12">
        <v>0</v>
      </c>
      <c r="D173" s="6">
        <f>'07_Revenue_Model'!D11*(1+$E$6)*(1+0)</f>
        <v>3960000</v>
      </c>
      <c r="E173" s="6">
        <f>'07_Revenue_Model'!E11*(1+$E$6)*(1+0)</f>
        <v>4989600</v>
      </c>
      <c r="F173" s="6">
        <f>'07_Revenue_Model'!F11*(1+$E$6)*(1+0)</f>
        <v>6112260</v>
      </c>
      <c r="G173" s="6">
        <f>'07_Revenue_Model'!G11*(1+$E$6)*(1+0)</f>
        <v>6967976.4000000013</v>
      </c>
      <c r="H173" s="6">
        <f>'07_Revenue_Model'!H11*(1+$E$6)*(1+0)</f>
        <v>7701447.5999999996</v>
      </c>
    </row>
    <row r="174" spans="1:8">
      <c r="A174" s="5" t="s">
        <v>610</v>
      </c>
      <c r="C174" s="12">
        <v>0</v>
      </c>
      <c r="D174" s="6">
        <f>'08_Cost_Model'!D9*(1+$E$6)*(1+0)</f>
        <v>1425600</v>
      </c>
      <c r="E174" s="6">
        <f>'08_Cost_Model'!E9*(1+$E$6)*(1+0)</f>
        <v>1796256</v>
      </c>
      <c r="F174" s="6">
        <f>'08_Cost_Model'!F9*(1+$E$6)*(1+0)</f>
        <v>2200413.6</v>
      </c>
      <c r="G174" s="6">
        <f>'08_Cost_Model'!G9*(1+$E$6)*(1+0)</f>
        <v>2508471.5040000002</v>
      </c>
      <c r="H174" s="6">
        <f>'08_Cost_Model'!H9*(1+$E$6)*(1+0)</f>
        <v>2772521.1359999999</v>
      </c>
    </row>
    <row r="175" spans="1:8">
      <c r="A175" s="5" t="s">
        <v>622</v>
      </c>
      <c r="C175" s="12">
        <v>0</v>
      </c>
      <c r="D175" s="6">
        <f>'08_Cost_Model'!D21*(1+0)</f>
        <v>2462580</v>
      </c>
      <c r="E175" s="6">
        <f>'08_Cost_Model'!E21*(1+0)</f>
        <v>2611953</v>
      </c>
      <c r="F175" s="6">
        <f>'08_Cost_Model'!F21*(1+0)</f>
        <v>2770224.1380000003</v>
      </c>
      <c r="G175" s="6">
        <f>'08_Cost_Model'!G21*(1+0)</f>
        <v>2931515.6293800003</v>
      </c>
      <c r="H175" s="6">
        <f>'08_Cost_Model'!H21*(1+0)</f>
        <v>3098781.8626698013</v>
      </c>
    </row>
    <row r="176" spans="1:8">
      <c r="A176" s="16" t="s">
        <v>623</v>
      </c>
      <c r="C176" s="12">
        <v>0</v>
      </c>
      <c r="D176" s="43">
        <f>D173-D174-D175</f>
        <v>71820</v>
      </c>
      <c r="E176" s="43">
        <f>E173-E174-E175</f>
        <v>581391</v>
      </c>
      <c r="F176" s="43">
        <f>F173-F174-F175</f>
        <v>1141622.2619999996</v>
      </c>
      <c r="G176" s="43">
        <f>G173-G174-G175</f>
        <v>1527989.2666200013</v>
      </c>
      <c r="H176" s="43">
        <f>H173-H174-H175</f>
        <v>1830144.6013301983</v>
      </c>
    </row>
    <row r="177" spans="1:8">
      <c r="A177" s="5" t="s">
        <v>731</v>
      </c>
      <c r="C177" s="12">
        <v>0</v>
      </c>
      <c r="D177" s="6">
        <f>'09_Assets_Depreciation'!D20</f>
        <v>333550</v>
      </c>
      <c r="E177" s="6">
        <f>'09_Assets_Depreciation'!E20</f>
        <v>333550</v>
      </c>
      <c r="F177" s="6">
        <f>'09_Assets_Depreciation'!F20</f>
        <v>333550</v>
      </c>
      <c r="G177" s="6">
        <f>'09_Assets_Depreciation'!G20</f>
        <v>333550</v>
      </c>
      <c r="H177" s="6">
        <f>'09_Assets_Depreciation'!H20</f>
        <v>313550</v>
      </c>
    </row>
    <row r="178" spans="1:8">
      <c r="A178" s="5" t="s">
        <v>625</v>
      </c>
      <c r="C178" s="12">
        <v>0</v>
      </c>
      <c r="D178" s="12">
        <f>D176-D177</f>
        <v>-261730</v>
      </c>
      <c r="E178" s="12">
        <f>E176-E177</f>
        <v>247841</v>
      </c>
      <c r="F178" s="12">
        <f>F176-F177</f>
        <v>808072.26199999964</v>
      </c>
      <c r="G178" s="12">
        <f>G176-G177</f>
        <v>1194439.2666200013</v>
      </c>
      <c r="H178" s="12">
        <f>H176-H177</f>
        <v>1516594.6013301983</v>
      </c>
    </row>
    <row r="179" spans="1:8">
      <c r="A179" s="5" t="s">
        <v>657</v>
      </c>
      <c r="C179" s="12">
        <v>0</v>
      </c>
      <c r="D179" s="6">
        <f>MAX(0,D178)*'04_Assumptions'!$C$40</f>
        <v>0</v>
      </c>
      <c r="E179" s="6">
        <f>MAX(0,E178)*'04_Assumptions'!$C$40</f>
        <v>62381.579699999995</v>
      </c>
      <c r="F179" s="6">
        <f>MAX(0,F178)*'04_Assumptions'!$C$40</f>
        <v>203391.78834539989</v>
      </c>
      <c r="G179" s="6">
        <f>MAX(0,G178)*'04_Assumptions'!$C$40</f>
        <v>300640.36340825428</v>
      </c>
      <c r="H179" s="6">
        <f>MAX(0,H178)*'04_Assumptions'!$C$40</f>
        <v>381726.86115481087</v>
      </c>
    </row>
    <row r="180" spans="1:8">
      <c r="A180" s="5" t="s">
        <v>732</v>
      </c>
      <c r="C180" s="12">
        <v>0</v>
      </c>
      <c r="D180" s="12">
        <f>D178-D179</f>
        <v>-261730</v>
      </c>
      <c r="E180" s="12">
        <f>E178-E179</f>
        <v>185459.4203</v>
      </c>
      <c r="F180" s="12">
        <f>F178-F179</f>
        <v>604680.47365459974</v>
      </c>
      <c r="G180" s="12">
        <f>G178-G179</f>
        <v>893798.90321174706</v>
      </c>
      <c r="H180" s="12">
        <f>H178-H179</f>
        <v>1134867.7401753874</v>
      </c>
    </row>
    <row r="181" spans="1:8">
      <c r="A181" s="5" t="s">
        <v>733</v>
      </c>
      <c r="C181" s="12">
        <v>0</v>
      </c>
      <c r="D181" s="6">
        <f>D173*'04_Assumptions'!$C$42/365+D174*'04_Assumptions'!$C$43/365-D174*'04_Assumptions'!$C$44/365</f>
        <v>9981.3698630137005</v>
      </c>
      <c r="E181" s="6">
        <f>E173*'04_Assumptions'!$C$42/365+E174*'04_Assumptions'!$C$43/365-E174*'04_Assumptions'!$C$44/365</f>
        <v>12576.52602739726</v>
      </c>
      <c r="F181" s="6">
        <f>F173*'04_Assumptions'!$C$42/365+F174*'04_Assumptions'!$C$43/365-F174*'04_Assumptions'!$C$44/365</f>
        <v>15406.244383561636</v>
      </c>
      <c r="G181" s="6">
        <f>G173*'04_Assumptions'!$C$42/365+G174*'04_Assumptions'!$C$43/365-G174*'04_Assumptions'!$C$44/365</f>
        <v>17563.118597260283</v>
      </c>
      <c r="H181" s="6">
        <f>H173*'04_Assumptions'!$C$42/365+H174*'04_Assumptions'!$C$43/365-H174*'04_Assumptions'!$C$44/365</f>
        <v>19411.867923287675</v>
      </c>
    </row>
    <row r="182" spans="1:8">
      <c r="A182" s="5" t="s">
        <v>734</v>
      </c>
      <c r="C182" s="12">
        <v>0</v>
      </c>
      <c r="D182" s="12">
        <f>D181-C181</f>
        <v>9981.3698630137005</v>
      </c>
      <c r="E182" s="12">
        <f>E181-D181</f>
        <v>2595.1561643835594</v>
      </c>
      <c r="F182" s="12">
        <f>F181-E181</f>
        <v>2829.718356164376</v>
      </c>
      <c r="G182" s="12">
        <f>G181-F181</f>
        <v>2156.8742136986475</v>
      </c>
      <c r="H182" s="12">
        <f>H181-G181</f>
        <v>1848.7493260273914</v>
      </c>
    </row>
    <row r="183" spans="1:8">
      <c r="A183" s="5" t="s">
        <v>735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6">
        <f>'15_Project_FCF'!H14+'15_Project_FCF'!H15+'15_Project_FCF'!H16</f>
        <v>958342.5</v>
      </c>
    </row>
    <row r="184" spans="1:8">
      <c r="A184" s="16" t="s">
        <v>673</v>
      </c>
      <c r="C184" s="76">
        <f>'15_Project_FCF'!C17</f>
        <v>-2929530</v>
      </c>
      <c r="D184" s="43">
        <f>D180+D177-D182+D183</f>
        <v>61838.630136986299</v>
      </c>
      <c r="E184" s="43">
        <f>E180+E177-E182+E183</f>
        <v>516414.26413561642</v>
      </c>
      <c r="F184" s="43">
        <f>F180+F177-F182+F183</f>
        <v>935400.75529843534</v>
      </c>
      <c r="G184" s="43">
        <f>G180+G177-G182+G183</f>
        <v>1225192.0289980485</v>
      </c>
      <c r="H184" s="43">
        <f>H180+H177-H182+H183</f>
        <v>2404911.4908493599</v>
      </c>
    </row>
    <row r="185" spans="1:8">
      <c r="A185" s="5" t="s">
        <v>736</v>
      </c>
      <c r="C185" s="12">
        <f>C184</f>
        <v>-2929530</v>
      </c>
      <c r="D185" s="12">
        <f>C185+D184</f>
        <v>-2867691.3698630137</v>
      </c>
      <c r="E185" s="12">
        <f>D185+E184</f>
        <v>-2351277.1057273974</v>
      </c>
      <c r="F185" s="12">
        <f>E185+F184</f>
        <v>-1415876.3504289621</v>
      </c>
      <c r="G185" s="12">
        <f>F185+G184</f>
        <v>-190684.32143091364</v>
      </c>
      <c r="H185" s="12">
        <f>G185+H184</f>
        <v>2214227.1694184463</v>
      </c>
    </row>
    <row r="186" spans="1:8">
      <c r="A186" s="5" t="s">
        <v>737</v>
      </c>
      <c r="D186" s="26">
        <f>IF(AND(C185&lt;0,D185&gt;=0),0+(-C185)/D184,0)</f>
        <v>0</v>
      </c>
      <c r="E186" s="26">
        <f>IF(AND(D185&lt;0,E185&gt;=0),1+(-D185)/E184,0)</f>
        <v>0</v>
      </c>
      <c r="F186" s="26">
        <f>IF(AND(E185&lt;0,F185&gt;=0),2+(-E185)/F184,0)</f>
        <v>0</v>
      </c>
      <c r="G186" s="26">
        <f>IF(AND(F185&lt;0,G185&gt;=0),3+(-F185)/G184,0)</f>
        <v>0</v>
      </c>
      <c r="H186" s="26">
        <f>IF(AND(G185&lt;0,H185&gt;=0),4+(-G185)/H184,0)</f>
        <v>4.0792895381624081</v>
      </c>
    </row>
    <row r="187" spans="1:8">
      <c r="A187" s="16" t="s">
        <v>724</v>
      </c>
      <c r="C187" s="76">
        <f>C184+NPV('04_Assumptions'!$C$74,D184:H184)</f>
        <v>203004.09969634889</v>
      </c>
    </row>
    <row r="188" spans="1:8">
      <c r="A188" s="16" t="s">
        <v>725</v>
      </c>
      <c r="C188" s="77">
        <f>IFERROR(IRR(C184:H184),"n/a")</f>
        <v>0.15261854563751551</v>
      </c>
    </row>
    <row r="189" spans="1:8">
      <c r="A189" s="16" t="s">
        <v>738</v>
      </c>
      <c r="C189" s="78">
        <f>IF(SUM(D186:H186)=0,"&gt; 5 yrs",SUM(D186:H186))</f>
        <v>4.0792895381624081</v>
      </c>
    </row>
    <row r="192" spans="1:8">
      <c r="A192" s="55" t="s">
        <v>764</v>
      </c>
      <c r="B192" s="74"/>
      <c r="C192" s="75" t="s">
        <v>406</v>
      </c>
      <c r="D192" s="75" t="s">
        <v>276</v>
      </c>
      <c r="E192" s="75" t="s">
        <v>495</v>
      </c>
      <c r="F192" s="75" t="s">
        <v>496</v>
      </c>
      <c r="G192" s="75" t="s">
        <v>497</v>
      </c>
      <c r="H192" s="75" t="s">
        <v>465</v>
      </c>
    </row>
    <row r="193" spans="1:8">
      <c r="A193" s="5" t="s">
        <v>608</v>
      </c>
      <c r="C193" s="12">
        <v>0</v>
      </c>
      <c r="D193" s="6">
        <f>'07_Revenue_Model'!D11*(1+$F$6)*(1+0)</f>
        <v>4356000</v>
      </c>
      <c r="E193" s="6">
        <f>'07_Revenue_Model'!E11*(1+$F$6)*(1+0)</f>
        <v>5488560</v>
      </c>
      <c r="F193" s="6">
        <f>'07_Revenue_Model'!F11*(1+$F$6)*(1+0)</f>
        <v>6723486.0000000009</v>
      </c>
      <c r="G193" s="6">
        <f>'07_Revenue_Model'!G11*(1+$F$6)*(1+0)</f>
        <v>7664774.0400000019</v>
      </c>
      <c r="H193" s="6">
        <f>'07_Revenue_Model'!H11*(1+$F$6)*(1+0)</f>
        <v>8471592.3599999994</v>
      </c>
    </row>
    <row r="194" spans="1:8">
      <c r="A194" s="5" t="s">
        <v>610</v>
      </c>
      <c r="C194" s="12">
        <v>0</v>
      </c>
      <c r="D194" s="6">
        <f>'08_Cost_Model'!D9*(1+$F$6)*(1+0)</f>
        <v>1568160.0000000002</v>
      </c>
      <c r="E194" s="6">
        <f>'08_Cost_Model'!E9*(1+$F$6)*(1+0)</f>
        <v>1975881.6</v>
      </c>
      <c r="F194" s="6">
        <f>'08_Cost_Model'!F9*(1+$F$6)*(1+0)</f>
        <v>2420454.9600000004</v>
      </c>
      <c r="G194" s="6">
        <f>'08_Cost_Model'!G9*(1+$F$6)*(1+0)</f>
        <v>2759318.6544000003</v>
      </c>
      <c r="H194" s="6">
        <f>'08_Cost_Model'!H9*(1+$F$6)*(1+0)</f>
        <v>3049773.2496000002</v>
      </c>
    </row>
    <row r="195" spans="1:8">
      <c r="A195" s="5" t="s">
        <v>622</v>
      </c>
      <c r="C195" s="12">
        <v>0</v>
      </c>
      <c r="D195" s="6">
        <f>'08_Cost_Model'!D21*(1+0)</f>
        <v>2462580</v>
      </c>
      <c r="E195" s="6">
        <f>'08_Cost_Model'!E21*(1+0)</f>
        <v>2611953</v>
      </c>
      <c r="F195" s="6">
        <f>'08_Cost_Model'!F21*(1+0)</f>
        <v>2770224.1380000003</v>
      </c>
      <c r="G195" s="6">
        <f>'08_Cost_Model'!G21*(1+0)</f>
        <v>2931515.6293800003</v>
      </c>
      <c r="H195" s="6">
        <f>'08_Cost_Model'!H21*(1+0)</f>
        <v>3098781.8626698013</v>
      </c>
    </row>
    <row r="196" spans="1:8">
      <c r="A196" s="16" t="s">
        <v>623</v>
      </c>
      <c r="C196" s="12">
        <v>0</v>
      </c>
      <c r="D196" s="43">
        <f>D193-D194-D195</f>
        <v>325260</v>
      </c>
      <c r="E196" s="43">
        <f>E193-E194-E195</f>
        <v>900725.39999999991</v>
      </c>
      <c r="F196" s="43">
        <f>F193-F194-F195</f>
        <v>1532806.9020000007</v>
      </c>
      <c r="G196" s="43">
        <f>G193-G194-G195</f>
        <v>1973939.7562200013</v>
      </c>
      <c r="H196" s="43">
        <f>H193-H194-H195</f>
        <v>2323037.2477301974</v>
      </c>
    </row>
    <row r="197" spans="1:8">
      <c r="A197" s="5" t="s">
        <v>731</v>
      </c>
      <c r="C197" s="12">
        <v>0</v>
      </c>
      <c r="D197" s="6">
        <f>'09_Assets_Depreciation'!D20</f>
        <v>333550</v>
      </c>
      <c r="E197" s="6">
        <f>'09_Assets_Depreciation'!E20</f>
        <v>333550</v>
      </c>
      <c r="F197" s="6">
        <f>'09_Assets_Depreciation'!F20</f>
        <v>333550</v>
      </c>
      <c r="G197" s="6">
        <f>'09_Assets_Depreciation'!G20</f>
        <v>333550</v>
      </c>
      <c r="H197" s="6">
        <f>'09_Assets_Depreciation'!H20</f>
        <v>313550</v>
      </c>
    </row>
    <row r="198" spans="1:8">
      <c r="A198" s="5" t="s">
        <v>625</v>
      </c>
      <c r="C198" s="12">
        <v>0</v>
      </c>
      <c r="D198" s="12">
        <f>D196-D197</f>
        <v>-8290</v>
      </c>
      <c r="E198" s="12">
        <f>E196-E197</f>
        <v>567175.39999999991</v>
      </c>
      <c r="F198" s="12">
        <f>F196-F197</f>
        <v>1199256.9020000007</v>
      </c>
      <c r="G198" s="12">
        <f>G196-G197</f>
        <v>1640389.7562200013</v>
      </c>
      <c r="H198" s="12">
        <f>H196-H197</f>
        <v>2009487.2477301974</v>
      </c>
    </row>
    <row r="199" spans="1:8">
      <c r="A199" s="5" t="s">
        <v>657</v>
      </c>
      <c r="C199" s="12">
        <v>0</v>
      </c>
      <c r="D199" s="6">
        <f>MAX(0,D198)*'04_Assumptions'!$C$40</f>
        <v>0</v>
      </c>
      <c r="E199" s="6">
        <f>MAX(0,E198)*'04_Assumptions'!$C$40</f>
        <v>142758.04817999995</v>
      </c>
      <c r="F199" s="6">
        <f>MAX(0,F198)*'04_Assumptions'!$C$40</f>
        <v>301852.96223340015</v>
      </c>
      <c r="G199" s="6">
        <f>MAX(0,G198)*'04_Assumptions'!$C$40</f>
        <v>412886.10164057428</v>
      </c>
      <c r="H199" s="6">
        <f>MAX(0,H198)*'04_Assumptions'!$C$40</f>
        <v>505787.94025369064</v>
      </c>
    </row>
    <row r="200" spans="1:8">
      <c r="A200" s="5" t="s">
        <v>732</v>
      </c>
      <c r="C200" s="12">
        <v>0</v>
      </c>
      <c r="D200" s="12">
        <f>D198-D199</f>
        <v>-8290</v>
      </c>
      <c r="E200" s="12">
        <f>E198-E199</f>
        <v>424417.35181999998</v>
      </c>
      <c r="F200" s="12">
        <f>F198-F199</f>
        <v>897403.9397666005</v>
      </c>
      <c r="G200" s="12">
        <f>G198-G199</f>
        <v>1227503.6545794271</v>
      </c>
      <c r="H200" s="12">
        <f>H198-H199</f>
        <v>1503699.3074765068</v>
      </c>
    </row>
    <row r="201" spans="1:8">
      <c r="A201" s="5" t="s">
        <v>733</v>
      </c>
      <c r="C201" s="12">
        <v>0</v>
      </c>
      <c r="D201" s="6">
        <f>D193*'04_Assumptions'!$C$42/365+D194*'04_Assumptions'!$C$43/365-D194*'04_Assumptions'!$C$44/365</f>
        <v>10979.506849315068</v>
      </c>
      <c r="E201" s="6">
        <f>E193*'04_Assumptions'!$C$42/365+E194*'04_Assumptions'!$C$43/365-E194*'04_Assumptions'!$C$44/365</f>
        <v>13834.178630136994</v>
      </c>
      <c r="F201" s="6">
        <f>F193*'04_Assumptions'!$C$42/365+F194*'04_Assumptions'!$C$43/365-F194*'04_Assumptions'!$C$44/365</f>
        <v>16946.868821917815</v>
      </c>
      <c r="G201" s="6">
        <f>G193*'04_Assumptions'!$C$42/365+G194*'04_Assumptions'!$C$43/365-G194*'04_Assumptions'!$C$44/365</f>
        <v>19319.430456986302</v>
      </c>
      <c r="H201" s="6">
        <f>H193*'04_Assumptions'!$C$42/365+H194*'04_Assumptions'!$C$43/365-H194*'04_Assumptions'!$C$44/365</f>
        <v>21353.054715616439</v>
      </c>
    </row>
    <row r="202" spans="1:8">
      <c r="A202" s="5" t="s">
        <v>734</v>
      </c>
      <c r="C202" s="12">
        <v>0</v>
      </c>
      <c r="D202" s="12">
        <f>D201-C201</f>
        <v>10979.506849315068</v>
      </c>
      <c r="E202" s="12">
        <f>E201-D201</f>
        <v>2854.6717808219255</v>
      </c>
      <c r="F202" s="12">
        <f>F201-E201</f>
        <v>3112.6901917808209</v>
      </c>
      <c r="G202" s="12">
        <f>G201-F201</f>
        <v>2372.5616350684868</v>
      </c>
      <c r="H202" s="12">
        <f>H201-G201</f>
        <v>2033.6242586301378</v>
      </c>
    </row>
    <row r="203" spans="1:8">
      <c r="A203" s="5" t="s">
        <v>735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6">
        <f>'15_Project_FCF'!H14+'15_Project_FCF'!H15+'15_Project_FCF'!H16</f>
        <v>958342.5</v>
      </c>
    </row>
    <row r="204" spans="1:8">
      <c r="A204" s="16" t="s">
        <v>673</v>
      </c>
      <c r="C204" s="76">
        <f>'15_Project_FCF'!C17</f>
        <v>-2929530</v>
      </c>
      <c r="D204" s="43">
        <f>D200+D197-D202+D203</f>
        <v>314280.49315068492</v>
      </c>
      <c r="E204" s="43">
        <f>E200+E197-E202+E203</f>
        <v>755112.68003917811</v>
      </c>
      <c r="F204" s="43">
        <f>F200+F197-F202+F203</f>
        <v>1227841.2495748196</v>
      </c>
      <c r="G204" s="43">
        <f>G200+G197-G202+G203</f>
        <v>1558681.0929443587</v>
      </c>
      <c r="H204" s="43">
        <f>H200+H197-H202+H203</f>
        <v>2773558.1832178766</v>
      </c>
    </row>
    <row r="205" spans="1:8">
      <c r="A205" s="5" t="s">
        <v>736</v>
      </c>
      <c r="C205" s="12">
        <f>C204</f>
        <v>-2929530</v>
      </c>
      <c r="D205" s="12">
        <f>C205+D204</f>
        <v>-2615249.506849315</v>
      </c>
      <c r="E205" s="12">
        <f>D205+E204</f>
        <v>-1860136.8268101369</v>
      </c>
      <c r="F205" s="12">
        <f>E205+F204</f>
        <v>-632295.57723531732</v>
      </c>
      <c r="G205" s="12">
        <f>F205+G204</f>
        <v>926385.51570904138</v>
      </c>
      <c r="H205" s="12">
        <f>G205+H204</f>
        <v>3699943.6989269182</v>
      </c>
    </row>
    <row r="206" spans="1:8">
      <c r="A206" s="5" t="s">
        <v>737</v>
      </c>
      <c r="D206" s="26">
        <f>IF(AND(C205&lt;0,D205&gt;=0),0+(-C205)/D204,0)</f>
        <v>0</v>
      </c>
      <c r="E206" s="26">
        <f>IF(AND(D205&lt;0,E205&gt;=0),1+(-D205)/E204,0)</f>
        <v>0</v>
      </c>
      <c r="F206" s="26">
        <f>IF(AND(E205&lt;0,F205&gt;=0),2+(-E205)/F204,0)</f>
        <v>0</v>
      </c>
      <c r="G206" s="26">
        <f>IF(AND(F205&lt;0,G205&gt;=0),3+(-F205)/G204,0)</f>
        <v>3.4056606448217748</v>
      </c>
      <c r="H206" s="26">
        <f>IF(AND(G205&lt;0,H205&gt;=0),4+(-G205)/H204,0)</f>
        <v>0</v>
      </c>
    </row>
    <row r="207" spans="1:8">
      <c r="A207" s="16" t="s">
        <v>724</v>
      </c>
      <c r="C207" s="76">
        <f>C204+NPV('04_Assumptions'!$C$74,D204:H204)</f>
        <v>1212883.6581275174</v>
      </c>
    </row>
    <row r="208" spans="1:8">
      <c r="A208" s="16" t="s">
        <v>725</v>
      </c>
      <c r="C208" s="77">
        <f>IFERROR(IRR(C204:H204),"n/a")</f>
        <v>0.24769449185807271</v>
      </c>
    </row>
    <row r="209" spans="1:8">
      <c r="A209" s="16" t="s">
        <v>738</v>
      </c>
      <c r="C209" s="78">
        <f>IF(SUM(D206:H206)=0,"&gt; 5 yrs",SUM(D206:H206))</f>
        <v>3.4056606448217748</v>
      </c>
    </row>
    <row r="212" spans="1:8">
      <c r="A212" s="55" t="s">
        <v>765</v>
      </c>
      <c r="B212" s="74"/>
      <c r="C212" s="75" t="s">
        <v>406</v>
      </c>
      <c r="D212" s="75" t="s">
        <v>276</v>
      </c>
      <c r="E212" s="75" t="s">
        <v>495</v>
      </c>
      <c r="F212" s="75" t="s">
        <v>496</v>
      </c>
      <c r="G212" s="75" t="s">
        <v>497</v>
      </c>
      <c r="H212" s="75" t="s">
        <v>465</v>
      </c>
    </row>
    <row r="213" spans="1:8">
      <c r="A213" s="5" t="s">
        <v>608</v>
      </c>
      <c r="C213" s="12">
        <v>0</v>
      </c>
      <c r="D213" s="6">
        <f>'07_Revenue_Model'!D11*(1+$G$6)*(1+0)</f>
        <v>4752000</v>
      </c>
      <c r="E213" s="6">
        <f>'07_Revenue_Model'!E11*(1+$G$6)*(1+0)</f>
        <v>5987520</v>
      </c>
      <c r="F213" s="6">
        <f>'07_Revenue_Model'!F11*(1+$G$6)*(1+0)</f>
        <v>7334712</v>
      </c>
      <c r="G213" s="6">
        <f>'07_Revenue_Model'!G11*(1+$G$6)*(1+0)</f>
        <v>8361571.6800000016</v>
      </c>
      <c r="H213" s="6">
        <f>'07_Revenue_Model'!H11*(1+$G$6)*(1+0)</f>
        <v>9241737.1199999992</v>
      </c>
    </row>
    <row r="214" spans="1:8">
      <c r="A214" s="5" t="s">
        <v>610</v>
      </c>
      <c r="C214" s="12">
        <v>0</v>
      </c>
      <c r="D214" s="6">
        <f>'08_Cost_Model'!D9*(1+$G$6)*(1+0)</f>
        <v>1710720</v>
      </c>
      <c r="E214" s="6">
        <f>'08_Cost_Model'!E9*(1+$G$6)*(1+0)</f>
        <v>2155507.1999999997</v>
      </c>
      <c r="F214" s="6">
        <f>'08_Cost_Model'!F9*(1+$G$6)*(1+0)</f>
        <v>2640496.3199999998</v>
      </c>
      <c r="G214" s="6">
        <f>'08_Cost_Model'!G9*(1+$G$6)*(1+0)</f>
        <v>3010165.8048</v>
      </c>
      <c r="H214" s="6">
        <f>'08_Cost_Model'!H9*(1+$G$6)*(1+0)</f>
        <v>3327025.3632</v>
      </c>
    </row>
    <row r="215" spans="1:8">
      <c r="A215" s="5" t="s">
        <v>622</v>
      </c>
      <c r="C215" s="12">
        <v>0</v>
      </c>
      <c r="D215" s="6">
        <f>'08_Cost_Model'!D21*(1+0)</f>
        <v>2462580</v>
      </c>
      <c r="E215" s="6">
        <f>'08_Cost_Model'!E21*(1+0)</f>
        <v>2611953</v>
      </c>
      <c r="F215" s="6">
        <f>'08_Cost_Model'!F21*(1+0)</f>
        <v>2770224.1380000003</v>
      </c>
      <c r="G215" s="6">
        <f>'08_Cost_Model'!G21*(1+0)</f>
        <v>2931515.6293800003</v>
      </c>
      <c r="H215" s="6">
        <f>'08_Cost_Model'!H21*(1+0)</f>
        <v>3098781.8626698013</v>
      </c>
    </row>
    <row r="216" spans="1:8">
      <c r="A216" s="16" t="s">
        <v>623</v>
      </c>
      <c r="C216" s="12">
        <v>0</v>
      </c>
      <c r="D216" s="43">
        <f>D213-D214-D215</f>
        <v>578700</v>
      </c>
      <c r="E216" s="43">
        <f>E213-E214-E215</f>
        <v>1220059.8000000003</v>
      </c>
      <c r="F216" s="43">
        <f>F213-F214-F215</f>
        <v>1923991.5419999994</v>
      </c>
      <c r="G216" s="43">
        <f>G213-G214-G215</f>
        <v>2419890.2458200012</v>
      </c>
      <c r="H216" s="43">
        <f>H213-H214-H215</f>
        <v>2815929.8941301983</v>
      </c>
    </row>
    <row r="217" spans="1:8">
      <c r="A217" s="5" t="s">
        <v>731</v>
      </c>
      <c r="C217" s="12">
        <v>0</v>
      </c>
      <c r="D217" s="6">
        <f>'09_Assets_Depreciation'!D20</f>
        <v>333550</v>
      </c>
      <c r="E217" s="6">
        <f>'09_Assets_Depreciation'!E20</f>
        <v>333550</v>
      </c>
      <c r="F217" s="6">
        <f>'09_Assets_Depreciation'!F20</f>
        <v>333550</v>
      </c>
      <c r="G217" s="6">
        <f>'09_Assets_Depreciation'!G20</f>
        <v>333550</v>
      </c>
      <c r="H217" s="6">
        <f>'09_Assets_Depreciation'!H20</f>
        <v>313550</v>
      </c>
    </row>
    <row r="218" spans="1:8">
      <c r="A218" s="5" t="s">
        <v>625</v>
      </c>
      <c r="C218" s="12">
        <v>0</v>
      </c>
      <c r="D218" s="12">
        <f>D216-D217</f>
        <v>245150</v>
      </c>
      <c r="E218" s="12">
        <f>E216-E217</f>
        <v>886509.80000000028</v>
      </c>
      <c r="F218" s="12">
        <f>F216-F217</f>
        <v>1590441.5419999994</v>
      </c>
      <c r="G218" s="12">
        <f>G216-G217</f>
        <v>2086340.2458200012</v>
      </c>
      <c r="H218" s="12">
        <f>H216-H217</f>
        <v>2502379.8941301983</v>
      </c>
    </row>
    <row r="219" spans="1:8">
      <c r="A219" s="5" t="s">
        <v>657</v>
      </c>
      <c r="C219" s="12">
        <v>0</v>
      </c>
      <c r="D219" s="6">
        <f>MAX(0,D218)*'04_Assumptions'!$C$40</f>
        <v>61704.254999999997</v>
      </c>
      <c r="E219" s="6">
        <f>MAX(0,E218)*'04_Assumptions'!$C$40</f>
        <v>223134.51666000005</v>
      </c>
      <c r="F219" s="6">
        <f>MAX(0,F218)*'04_Assumptions'!$C$40</f>
        <v>400314.13612139982</v>
      </c>
      <c r="G219" s="6">
        <f>MAX(0,G218)*'04_Assumptions'!$C$40</f>
        <v>525131.83987289423</v>
      </c>
      <c r="H219" s="6">
        <f>MAX(0,H218)*'04_Assumptions'!$C$40</f>
        <v>629849.01935257087</v>
      </c>
    </row>
    <row r="220" spans="1:8">
      <c r="A220" s="5" t="s">
        <v>732</v>
      </c>
      <c r="C220" s="12">
        <v>0</v>
      </c>
      <c r="D220" s="12">
        <f>D218-D219</f>
        <v>183445.745</v>
      </c>
      <c r="E220" s="12">
        <f>E218-E219</f>
        <v>663375.2833400002</v>
      </c>
      <c r="F220" s="12">
        <f>F218-F219</f>
        <v>1190127.4058785997</v>
      </c>
      <c r="G220" s="12">
        <f>G218-G219</f>
        <v>1561208.4059471069</v>
      </c>
      <c r="H220" s="12">
        <f>H218-H219</f>
        <v>1872530.8747776274</v>
      </c>
    </row>
    <row r="221" spans="1:8">
      <c r="A221" s="5" t="s">
        <v>733</v>
      </c>
      <c r="C221" s="12">
        <v>0</v>
      </c>
      <c r="D221" s="6">
        <f>D213*'04_Assumptions'!$C$42/365+D214*'04_Assumptions'!$C$43/365-D214*'04_Assumptions'!$C$44/365</f>
        <v>11977.643835616444</v>
      </c>
      <c r="E221" s="6">
        <f>E213*'04_Assumptions'!$C$42/365+E214*'04_Assumptions'!$C$43/365-E214*'04_Assumptions'!$C$44/365</f>
        <v>15091.831232876713</v>
      </c>
      <c r="F221" s="6">
        <f>F213*'04_Assumptions'!$C$42/365+F214*'04_Assumptions'!$C$43/365-F214*'04_Assumptions'!$C$44/365</f>
        <v>18487.493260273957</v>
      </c>
      <c r="G221" s="6">
        <f>G213*'04_Assumptions'!$C$42/365+G214*'04_Assumptions'!$C$43/365-G214*'04_Assumptions'!$C$44/365</f>
        <v>21075.742316712334</v>
      </c>
      <c r="H221" s="6">
        <f>H213*'04_Assumptions'!$C$42/365+H214*'04_Assumptions'!$C$43/365-H214*'04_Assumptions'!$C$44/365</f>
        <v>23294.241507945189</v>
      </c>
    </row>
    <row r="222" spans="1:8">
      <c r="A222" s="5" t="s">
        <v>734</v>
      </c>
      <c r="C222" s="12">
        <v>0</v>
      </c>
      <c r="D222" s="12">
        <f>D221-C221</f>
        <v>11977.643835616444</v>
      </c>
      <c r="E222" s="12">
        <f>E221-D221</f>
        <v>3114.1873972602698</v>
      </c>
      <c r="F222" s="12">
        <f>F221-E221</f>
        <v>3395.6620273972439</v>
      </c>
      <c r="G222" s="12">
        <f>G221-F221</f>
        <v>2588.249056438377</v>
      </c>
      <c r="H222" s="12">
        <f>H221-G221</f>
        <v>2218.4991912328551</v>
      </c>
    </row>
    <row r="223" spans="1:8">
      <c r="A223" s="5" t="s">
        <v>735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6">
        <f>'15_Project_FCF'!H14+'15_Project_FCF'!H15+'15_Project_FCF'!H16</f>
        <v>958342.5</v>
      </c>
    </row>
    <row r="224" spans="1:8">
      <c r="A224" s="16" t="s">
        <v>673</v>
      </c>
      <c r="C224" s="76">
        <f>'15_Project_FCF'!C17</f>
        <v>-2929530</v>
      </c>
      <c r="D224" s="43">
        <f>D220+D217-D222+D223</f>
        <v>505018.10116438358</v>
      </c>
      <c r="E224" s="43">
        <f>E220+E217-E222+E223</f>
        <v>993811.09594273998</v>
      </c>
      <c r="F224" s="43">
        <f>F220+F217-F222+F223</f>
        <v>1520281.7438512025</v>
      </c>
      <c r="G224" s="43">
        <f>G220+G217-G222+G223</f>
        <v>1892170.1568906684</v>
      </c>
      <c r="H224" s="43">
        <f>H220+H217-H222+H223</f>
        <v>3142204.8755863942</v>
      </c>
    </row>
    <row r="225" spans="1:8">
      <c r="A225" s="5" t="s">
        <v>736</v>
      </c>
      <c r="C225" s="12">
        <f>C224</f>
        <v>-2929530</v>
      </c>
      <c r="D225" s="12">
        <f>C225+D224</f>
        <v>-2424511.8988356162</v>
      </c>
      <c r="E225" s="12">
        <f>D225+E224</f>
        <v>-1430700.8028928763</v>
      </c>
      <c r="F225" s="12">
        <f>E225+F224</f>
        <v>89580.940958326217</v>
      </c>
      <c r="G225" s="12">
        <f>F225+G224</f>
        <v>1981751.0978489947</v>
      </c>
      <c r="H225" s="12">
        <f>G225+H224</f>
        <v>5123955.9734353889</v>
      </c>
    </row>
    <row r="226" spans="1:8">
      <c r="A226" s="5" t="s">
        <v>737</v>
      </c>
      <c r="D226" s="26">
        <f>IF(AND(C225&lt;0,D225&gt;=0),0+(-C225)/D224,0)</f>
        <v>0</v>
      </c>
      <c r="E226" s="26">
        <f>IF(AND(D225&lt;0,E225&gt;=0),1+(-D225)/E224,0)</f>
        <v>0</v>
      </c>
      <c r="F226" s="26">
        <f>IF(AND(E225&lt;0,F225&gt;=0),2+(-E225)/F224,0)</f>
        <v>2.941076092427843</v>
      </c>
      <c r="G226" s="26">
        <f>IF(AND(F225&lt;0,G225&gt;=0),3+(-F225)/G224,0)</f>
        <v>0</v>
      </c>
      <c r="H226" s="26">
        <f>IF(AND(G225&lt;0,H225&gt;=0),4+(-G225)/H224,0)</f>
        <v>0</v>
      </c>
    </row>
    <row r="227" spans="1:8">
      <c r="A227" s="16" t="s">
        <v>724</v>
      </c>
      <c r="C227" s="76">
        <f>C224+NPV('04_Assumptions'!$C$74,D224:H224)</f>
        <v>2168298.1816708082</v>
      </c>
    </row>
    <row r="228" spans="1:8">
      <c r="A228" s="16" t="s">
        <v>725</v>
      </c>
      <c r="C228" s="77">
        <f>IFERROR(IRR(C224:H224),"n/a")</f>
        <v>0.33249298083154433</v>
      </c>
    </row>
    <row r="229" spans="1:8">
      <c r="A229" s="16" t="s">
        <v>738</v>
      </c>
      <c r="C229" s="78">
        <f>IF(SUM(D226:H226)=0,"&gt; 5 yrs",SUM(D226:H226))</f>
        <v>2.941076092427843</v>
      </c>
    </row>
    <row r="232" spans="1:8">
      <c r="A232" s="55" t="s">
        <v>766</v>
      </c>
      <c r="B232" s="74"/>
      <c r="C232" s="75" t="s">
        <v>406</v>
      </c>
      <c r="D232" s="75" t="s">
        <v>276</v>
      </c>
      <c r="E232" s="75" t="s">
        <v>495</v>
      </c>
      <c r="F232" s="75" t="s">
        <v>496</v>
      </c>
      <c r="G232" s="75" t="s">
        <v>497</v>
      </c>
      <c r="H232" s="75" t="s">
        <v>465</v>
      </c>
    </row>
    <row r="233" spans="1:8">
      <c r="A233" s="5" t="s">
        <v>608</v>
      </c>
      <c r="C233" s="12">
        <v>0</v>
      </c>
      <c r="D233" s="6">
        <f>'07_Revenue_Model'!D11*(1+0)*(1+0)</f>
        <v>3960000</v>
      </c>
      <c r="E233" s="6">
        <f>'07_Revenue_Model'!E11*(1+0)*(1+0)</f>
        <v>4989600</v>
      </c>
      <c r="F233" s="6">
        <f>'07_Revenue_Model'!F11*(1+0)*(1+0)</f>
        <v>6112260</v>
      </c>
      <c r="G233" s="6">
        <f>'07_Revenue_Model'!G11*(1+0)*(1+0)</f>
        <v>6967976.4000000013</v>
      </c>
      <c r="H233" s="6">
        <f>'07_Revenue_Model'!H11*(1+0)*(1+0)</f>
        <v>7701447.5999999996</v>
      </c>
    </row>
    <row r="234" spans="1:8">
      <c r="A234" s="5" t="s">
        <v>610</v>
      </c>
      <c r="C234" s="12">
        <v>0</v>
      </c>
      <c r="D234" s="6">
        <f>'08_Cost_Model'!D9*(1+0)*(1+$C$6)</f>
        <v>1140480</v>
      </c>
      <c r="E234" s="6">
        <f>'08_Cost_Model'!E9*(1+0)*(1+$C$6)</f>
        <v>1437004.8</v>
      </c>
      <c r="F234" s="6">
        <f>'08_Cost_Model'!F9*(1+0)*(1+$C$6)</f>
        <v>1760330.8800000001</v>
      </c>
      <c r="G234" s="6">
        <f>'08_Cost_Model'!G9*(1+0)*(1+$C$6)</f>
        <v>2006777.2032000003</v>
      </c>
      <c r="H234" s="6">
        <f>'08_Cost_Model'!H9*(1+0)*(1+$C$6)</f>
        <v>2218016.9087999999</v>
      </c>
    </row>
    <row r="235" spans="1:8">
      <c r="A235" s="5" t="s">
        <v>622</v>
      </c>
      <c r="C235" s="12">
        <v>0</v>
      </c>
      <c r="D235" s="6">
        <f>'08_Cost_Model'!D21*(1+0)</f>
        <v>2462580</v>
      </c>
      <c r="E235" s="6">
        <f>'08_Cost_Model'!E21*(1+0)</f>
        <v>2611953</v>
      </c>
      <c r="F235" s="6">
        <f>'08_Cost_Model'!F21*(1+0)</f>
        <v>2770224.1380000003</v>
      </c>
      <c r="G235" s="6">
        <f>'08_Cost_Model'!G21*(1+0)</f>
        <v>2931515.6293800003</v>
      </c>
      <c r="H235" s="6">
        <f>'08_Cost_Model'!H21*(1+0)</f>
        <v>3098781.8626698013</v>
      </c>
    </row>
    <row r="236" spans="1:8">
      <c r="A236" s="16" t="s">
        <v>623</v>
      </c>
      <c r="C236" s="12">
        <v>0</v>
      </c>
      <c r="D236" s="43">
        <f>D233-D234-D235</f>
        <v>356940</v>
      </c>
      <c r="E236" s="43">
        <f>E233-E234-E235</f>
        <v>940642.20000000019</v>
      </c>
      <c r="F236" s="43">
        <f>F233-F234-F235</f>
        <v>1581704.9819999998</v>
      </c>
      <c r="G236" s="43">
        <f>G233-G234-G235</f>
        <v>2029683.5674200007</v>
      </c>
      <c r="H236" s="43">
        <f>H233-H234-H235</f>
        <v>2384648.828530198</v>
      </c>
    </row>
    <row r="237" spans="1:8">
      <c r="A237" s="5" t="s">
        <v>731</v>
      </c>
      <c r="C237" s="12">
        <v>0</v>
      </c>
      <c r="D237" s="6">
        <f>'09_Assets_Depreciation'!D20</f>
        <v>333550</v>
      </c>
      <c r="E237" s="6">
        <f>'09_Assets_Depreciation'!E20</f>
        <v>333550</v>
      </c>
      <c r="F237" s="6">
        <f>'09_Assets_Depreciation'!F20</f>
        <v>333550</v>
      </c>
      <c r="G237" s="6">
        <f>'09_Assets_Depreciation'!G20</f>
        <v>333550</v>
      </c>
      <c r="H237" s="6">
        <f>'09_Assets_Depreciation'!H20</f>
        <v>313550</v>
      </c>
    </row>
    <row r="238" spans="1:8">
      <c r="A238" s="5" t="s">
        <v>625</v>
      </c>
      <c r="C238" s="12">
        <v>0</v>
      </c>
      <c r="D238" s="12">
        <f>D236-D237</f>
        <v>23390</v>
      </c>
      <c r="E238" s="12">
        <f>E236-E237</f>
        <v>607092.20000000019</v>
      </c>
      <c r="F238" s="12">
        <f>F236-F237</f>
        <v>1248154.9819999998</v>
      </c>
      <c r="G238" s="12">
        <f>G236-G237</f>
        <v>1696133.5674200007</v>
      </c>
      <c r="H238" s="12">
        <f>H236-H237</f>
        <v>2071098.828530198</v>
      </c>
    </row>
    <row r="239" spans="1:8">
      <c r="A239" s="5" t="s">
        <v>657</v>
      </c>
      <c r="C239" s="12">
        <v>0</v>
      </c>
      <c r="D239" s="6">
        <f>MAX(0,D238)*'04_Assumptions'!$C$40</f>
        <v>5887.2629999999999</v>
      </c>
      <c r="E239" s="6">
        <f>MAX(0,E238)*'04_Assumptions'!$C$40</f>
        <v>152805.10674000005</v>
      </c>
      <c r="F239" s="6">
        <f>MAX(0,F238)*'04_Assumptions'!$C$40</f>
        <v>314160.60896939994</v>
      </c>
      <c r="G239" s="6">
        <f>MAX(0,G238)*'04_Assumptions'!$C$40</f>
        <v>426916.81891961413</v>
      </c>
      <c r="H239" s="6">
        <f>MAX(0,H238)*'04_Assumptions'!$C$40</f>
        <v>521295.57514105079</v>
      </c>
    </row>
    <row r="240" spans="1:8">
      <c r="A240" s="5" t="s">
        <v>732</v>
      </c>
      <c r="C240" s="12">
        <v>0</v>
      </c>
      <c r="D240" s="12">
        <f>D238-D239</f>
        <v>17502.737000000001</v>
      </c>
      <c r="E240" s="12">
        <f>E238-E239</f>
        <v>454287.09326000011</v>
      </c>
      <c r="F240" s="12">
        <f>F238-F239</f>
        <v>933994.37303059991</v>
      </c>
      <c r="G240" s="12">
        <f>G238-G239</f>
        <v>1269216.7485003865</v>
      </c>
      <c r="H240" s="12">
        <f>H238-H239</f>
        <v>1549803.2533891471</v>
      </c>
    </row>
    <row r="241" spans="1:8">
      <c r="A241" s="5" t="s">
        <v>733</v>
      </c>
      <c r="C241" s="12">
        <v>0</v>
      </c>
      <c r="D241" s="6">
        <f>D233*'04_Assumptions'!$C$42/365+D234*'04_Assumptions'!$C$43/365-D234*'04_Assumptions'!$C$44/365</f>
        <v>12324.821917808222</v>
      </c>
      <c r="E241" s="6">
        <f>E233*'04_Assumptions'!$C$42/365+E234*'04_Assumptions'!$C$43/365-E234*'04_Assumptions'!$C$44/365</f>
        <v>15529.275616438354</v>
      </c>
      <c r="F241" s="6">
        <f>F233*'04_Assumptions'!$C$42/365+F234*'04_Assumptions'!$C$43/365-F234*'04_Assumptions'!$C$44/365</f>
        <v>19023.362630136988</v>
      </c>
      <c r="G241" s="6">
        <f>G233*'04_Assumptions'!$C$42/365+G234*'04_Assumptions'!$C$43/365-G234*'04_Assumptions'!$C$44/365</f>
        <v>21686.633398356171</v>
      </c>
      <c r="H241" s="6">
        <f>H233*'04_Assumptions'!$C$42/365+H234*'04_Assumptions'!$C$43/365-H234*'04_Assumptions'!$C$44/365</f>
        <v>23969.436913972604</v>
      </c>
    </row>
    <row r="242" spans="1:8">
      <c r="A242" s="5" t="s">
        <v>734</v>
      </c>
      <c r="C242" s="12">
        <v>0</v>
      </c>
      <c r="D242" s="12">
        <f>D241-C241</f>
        <v>12324.821917808222</v>
      </c>
      <c r="E242" s="12">
        <f>E241-D241</f>
        <v>3204.4536986301318</v>
      </c>
      <c r="F242" s="12">
        <f>F241-E241</f>
        <v>3494.0870136986341</v>
      </c>
      <c r="G242" s="12">
        <f>G241-F241</f>
        <v>2663.2707682191831</v>
      </c>
      <c r="H242" s="12">
        <f>H241-G241</f>
        <v>2282.8035156164333</v>
      </c>
    </row>
    <row r="243" spans="1:8">
      <c r="A243" s="5" t="s">
        <v>735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6">
        <f>'15_Project_FCF'!H14+'15_Project_FCF'!H15+'15_Project_FCF'!H16</f>
        <v>958342.5</v>
      </c>
    </row>
    <row r="244" spans="1:8">
      <c r="A244" s="16" t="s">
        <v>673</v>
      </c>
      <c r="C244" s="76">
        <f>'15_Project_FCF'!C17</f>
        <v>-2929530</v>
      </c>
      <c r="D244" s="43">
        <f>D240+D237-D242+D243</f>
        <v>338727.91508219182</v>
      </c>
      <c r="E244" s="43">
        <f>E240+E237-E242+E243</f>
        <v>784632.63956137002</v>
      </c>
      <c r="F244" s="43">
        <f>F240+F237-F242+F243</f>
        <v>1264050.2860169013</v>
      </c>
      <c r="G244" s="43">
        <f>G240+G237-G242+G243</f>
        <v>1600103.4777321673</v>
      </c>
      <c r="H244" s="43">
        <f>H240+H237-H242+H243</f>
        <v>2819412.9498735308</v>
      </c>
    </row>
    <row r="245" spans="1:8">
      <c r="A245" s="5" t="s">
        <v>736</v>
      </c>
      <c r="C245" s="12">
        <f>C244</f>
        <v>-2929530</v>
      </c>
      <c r="D245" s="12">
        <f>C245+D244</f>
        <v>-2590802.084917808</v>
      </c>
      <c r="E245" s="12">
        <f>D245+E244</f>
        <v>-1806169.4453564379</v>
      </c>
      <c r="F245" s="12">
        <f>E245+F244</f>
        <v>-542119.15933953668</v>
      </c>
      <c r="G245" s="12">
        <f>F245+G244</f>
        <v>1057984.3183926307</v>
      </c>
      <c r="H245" s="12">
        <f>G245+H244</f>
        <v>3877397.2682661614</v>
      </c>
    </row>
    <row r="246" spans="1:8">
      <c r="A246" s="5" t="s">
        <v>737</v>
      </c>
      <c r="D246" s="26">
        <f>IF(AND(C245&lt;0,D245&gt;=0),0+(-C245)/D244,0)</f>
        <v>0</v>
      </c>
      <c r="E246" s="26">
        <f>IF(AND(D245&lt;0,E245&gt;=0),1+(-D245)/E244,0)</f>
        <v>0</v>
      </c>
      <c r="F246" s="26">
        <f>IF(AND(E245&lt;0,F245&gt;=0),2+(-E245)/F244,0)</f>
        <v>0</v>
      </c>
      <c r="G246" s="26">
        <f>IF(AND(F245&lt;0,G245&gt;=0),3+(-F245)/G244,0)</f>
        <v>3.3388025630116647</v>
      </c>
      <c r="H246" s="26">
        <f>IF(AND(G245&lt;0,H245&gt;=0),4+(-G245)/H244,0)</f>
        <v>0</v>
      </c>
    </row>
    <row r="247" spans="1:8">
      <c r="A247" s="16" t="s">
        <v>724</v>
      </c>
      <c r="C247" s="76">
        <f>C244+NPV('04_Assumptions'!$C$74,D244:H244)</f>
        <v>1332078.2397518605</v>
      </c>
    </row>
    <row r="248" spans="1:8">
      <c r="A248" s="16" t="s">
        <v>725</v>
      </c>
      <c r="C248" s="77">
        <f>IFERROR(IRR(C244:H244),"n/a")</f>
        <v>0.25851905491254046</v>
      </c>
    </row>
    <row r="249" spans="1:8">
      <c r="A249" s="16" t="s">
        <v>738</v>
      </c>
      <c r="C249" s="78">
        <f>IF(SUM(D246:H246)=0,"&gt; 5 yrs",SUM(D246:H246))</f>
        <v>3.3388025630116647</v>
      </c>
    </row>
    <row r="252" spans="1:8">
      <c r="A252" s="55" t="s">
        <v>767</v>
      </c>
      <c r="B252" s="74"/>
      <c r="C252" s="75" t="s">
        <v>406</v>
      </c>
      <c r="D252" s="75" t="s">
        <v>276</v>
      </c>
      <c r="E252" s="75" t="s">
        <v>495</v>
      </c>
      <c r="F252" s="75" t="s">
        <v>496</v>
      </c>
      <c r="G252" s="75" t="s">
        <v>497</v>
      </c>
      <c r="H252" s="75" t="s">
        <v>465</v>
      </c>
    </row>
    <row r="253" spans="1:8">
      <c r="A253" s="5" t="s">
        <v>608</v>
      </c>
      <c r="C253" s="12">
        <v>0</v>
      </c>
      <c r="D253" s="6">
        <f>'07_Revenue_Model'!D11*(1+0)*(1+0)</f>
        <v>3960000</v>
      </c>
      <c r="E253" s="6">
        <f>'07_Revenue_Model'!E11*(1+0)*(1+0)</f>
        <v>4989600</v>
      </c>
      <c r="F253" s="6">
        <f>'07_Revenue_Model'!F11*(1+0)*(1+0)</f>
        <v>6112260</v>
      </c>
      <c r="G253" s="6">
        <f>'07_Revenue_Model'!G11*(1+0)*(1+0)</f>
        <v>6967976.4000000013</v>
      </c>
      <c r="H253" s="6">
        <f>'07_Revenue_Model'!H11*(1+0)*(1+0)</f>
        <v>7701447.5999999996</v>
      </c>
    </row>
    <row r="254" spans="1:8">
      <c r="A254" s="5" t="s">
        <v>610</v>
      </c>
      <c r="C254" s="12">
        <v>0</v>
      </c>
      <c r="D254" s="6">
        <f>'08_Cost_Model'!D9*(1+0)*(1+$D$6)</f>
        <v>1283040</v>
      </c>
      <c r="E254" s="6">
        <f>'08_Cost_Model'!E9*(1+0)*(1+$D$6)</f>
        <v>1616630.4000000001</v>
      </c>
      <c r="F254" s="6">
        <f>'08_Cost_Model'!F9*(1+0)*(1+$D$6)</f>
        <v>1980372.2400000002</v>
      </c>
      <c r="G254" s="6">
        <f>'08_Cost_Model'!G9*(1+0)*(1+$D$6)</f>
        <v>2257624.3536</v>
      </c>
      <c r="H254" s="6">
        <f>'08_Cost_Model'!H9*(1+0)*(1+$D$6)</f>
        <v>2495269.0224000001</v>
      </c>
    </row>
    <row r="255" spans="1:8">
      <c r="A255" s="5" t="s">
        <v>622</v>
      </c>
      <c r="C255" s="12">
        <v>0</v>
      </c>
      <c r="D255" s="6">
        <f>'08_Cost_Model'!D21*(1+0)</f>
        <v>2462580</v>
      </c>
      <c r="E255" s="6">
        <f>'08_Cost_Model'!E21*(1+0)</f>
        <v>2611953</v>
      </c>
      <c r="F255" s="6">
        <f>'08_Cost_Model'!F21*(1+0)</f>
        <v>2770224.1380000003</v>
      </c>
      <c r="G255" s="6">
        <f>'08_Cost_Model'!G21*(1+0)</f>
        <v>2931515.6293800003</v>
      </c>
      <c r="H255" s="6">
        <f>'08_Cost_Model'!H21*(1+0)</f>
        <v>3098781.8626698013</v>
      </c>
    </row>
    <row r="256" spans="1:8">
      <c r="A256" s="16" t="s">
        <v>623</v>
      </c>
      <c r="C256" s="12">
        <v>0</v>
      </c>
      <c r="D256" s="43">
        <f>D253-D254-D255</f>
        <v>214380</v>
      </c>
      <c r="E256" s="43">
        <f>E253-E254-E255</f>
        <v>761016.59999999963</v>
      </c>
      <c r="F256" s="43">
        <f>F253-F254-F255</f>
        <v>1361663.6219999995</v>
      </c>
      <c r="G256" s="43">
        <f>G253-G254-G255</f>
        <v>1778836.417020001</v>
      </c>
      <c r="H256" s="43">
        <f>H253-H254-H255</f>
        <v>2107396.7149301982</v>
      </c>
    </row>
    <row r="257" spans="1:8">
      <c r="A257" s="5" t="s">
        <v>731</v>
      </c>
      <c r="C257" s="12">
        <v>0</v>
      </c>
      <c r="D257" s="6">
        <f>'09_Assets_Depreciation'!D20</f>
        <v>333550</v>
      </c>
      <c r="E257" s="6">
        <f>'09_Assets_Depreciation'!E20</f>
        <v>333550</v>
      </c>
      <c r="F257" s="6">
        <f>'09_Assets_Depreciation'!F20</f>
        <v>333550</v>
      </c>
      <c r="G257" s="6">
        <f>'09_Assets_Depreciation'!G20</f>
        <v>333550</v>
      </c>
      <c r="H257" s="6">
        <f>'09_Assets_Depreciation'!H20</f>
        <v>313550</v>
      </c>
    </row>
    <row r="258" spans="1:8">
      <c r="A258" s="5" t="s">
        <v>625</v>
      </c>
      <c r="C258" s="12">
        <v>0</v>
      </c>
      <c r="D258" s="12">
        <f>D256-D257</f>
        <v>-119170</v>
      </c>
      <c r="E258" s="12">
        <f>E256-E257</f>
        <v>427466.59999999963</v>
      </c>
      <c r="F258" s="12">
        <f>F256-F257</f>
        <v>1028113.6219999995</v>
      </c>
      <c r="G258" s="12">
        <f>G256-G257</f>
        <v>1445286.417020001</v>
      </c>
      <c r="H258" s="12">
        <f>H256-H257</f>
        <v>1793846.7149301982</v>
      </c>
    </row>
    <row r="259" spans="1:8">
      <c r="A259" s="5" t="s">
        <v>657</v>
      </c>
      <c r="C259" s="12">
        <v>0</v>
      </c>
      <c r="D259" s="6">
        <f>MAX(0,D258)*'04_Assumptions'!$C$40</f>
        <v>0</v>
      </c>
      <c r="E259" s="6">
        <f>MAX(0,E258)*'04_Assumptions'!$C$40</f>
        <v>107593.34321999989</v>
      </c>
      <c r="F259" s="6">
        <f>MAX(0,F258)*'04_Assumptions'!$C$40</f>
        <v>258776.19865739986</v>
      </c>
      <c r="G259" s="6">
        <f>MAX(0,G258)*'04_Assumptions'!$C$40</f>
        <v>363778.59116393421</v>
      </c>
      <c r="H259" s="6">
        <f>MAX(0,H258)*'04_Assumptions'!$C$40</f>
        <v>451511.21814793086</v>
      </c>
    </row>
    <row r="260" spans="1:8">
      <c r="A260" s="5" t="s">
        <v>732</v>
      </c>
      <c r="C260" s="12">
        <v>0</v>
      </c>
      <c r="D260" s="12">
        <f>D258-D259</f>
        <v>-119170</v>
      </c>
      <c r="E260" s="12">
        <f>E258-E259</f>
        <v>319873.25677999971</v>
      </c>
      <c r="F260" s="12">
        <f>F258-F259</f>
        <v>769337.42334259965</v>
      </c>
      <c r="G260" s="12">
        <f>G258-G259</f>
        <v>1081507.8258560668</v>
      </c>
      <c r="H260" s="12">
        <f>H258-H259</f>
        <v>1342335.4967822672</v>
      </c>
    </row>
    <row r="261" spans="1:8">
      <c r="A261" s="5" t="s">
        <v>733</v>
      </c>
      <c r="C261" s="12">
        <v>0</v>
      </c>
      <c r="D261" s="6">
        <f>D253*'04_Assumptions'!$C$42/365+D254*'04_Assumptions'!$C$43/365-D254*'04_Assumptions'!$C$44/365</f>
        <v>11153.095890410958</v>
      </c>
      <c r="E261" s="6">
        <f>E253*'04_Assumptions'!$C$42/365+E254*'04_Assumptions'!$C$43/365-E254*'04_Assumptions'!$C$44/365</f>
        <v>14052.900821917807</v>
      </c>
      <c r="F261" s="6">
        <f>F253*'04_Assumptions'!$C$42/365+F254*'04_Assumptions'!$C$43/365-F254*'04_Assumptions'!$C$44/365</f>
        <v>17214.803506849319</v>
      </c>
      <c r="G261" s="6">
        <f>G253*'04_Assumptions'!$C$42/365+G254*'04_Assumptions'!$C$43/365-G254*'04_Assumptions'!$C$44/365</f>
        <v>19624.875997808231</v>
      </c>
      <c r="H261" s="6">
        <f>H253*'04_Assumptions'!$C$42/365+H254*'04_Assumptions'!$C$43/365-H254*'04_Assumptions'!$C$44/365</f>
        <v>21690.652418630139</v>
      </c>
    </row>
    <row r="262" spans="1:8">
      <c r="A262" s="5" t="s">
        <v>734</v>
      </c>
      <c r="C262" s="12">
        <v>0</v>
      </c>
      <c r="D262" s="12">
        <f>D261-C261</f>
        <v>11153.095890410958</v>
      </c>
      <c r="E262" s="12">
        <f>E261-D261</f>
        <v>2899.8049315068492</v>
      </c>
      <c r="F262" s="12">
        <f>F261-E261</f>
        <v>3161.9026849315123</v>
      </c>
      <c r="G262" s="12">
        <f>G261-F261</f>
        <v>2410.0724909589117</v>
      </c>
      <c r="H262" s="12">
        <f>H261-G261</f>
        <v>2065.7764208219087</v>
      </c>
    </row>
    <row r="263" spans="1:8">
      <c r="A263" s="5" t="s">
        <v>735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6">
        <f>'15_Project_FCF'!H14+'15_Project_FCF'!H15+'15_Project_FCF'!H16</f>
        <v>958342.5</v>
      </c>
    </row>
    <row r="264" spans="1:8">
      <c r="A264" s="16" t="s">
        <v>673</v>
      </c>
      <c r="C264" s="76">
        <f>'15_Project_FCF'!C17</f>
        <v>-2929530</v>
      </c>
      <c r="D264" s="43">
        <f>D260+D257-D262+D263</f>
        <v>203226.90410958906</v>
      </c>
      <c r="E264" s="43">
        <f>E260+E257-E262+E263</f>
        <v>650523.45184849284</v>
      </c>
      <c r="F264" s="43">
        <f>F260+F257-F262+F263</f>
        <v>1099725.5206576681</v>
      </c>
      <c r="G264" s="43">
        <f>G260+G257-G262+G263</f>
        <v>1412647.7533651078</v>
      </c>
      <c r="H264" s="43">
        <f>H260+H257-H262+H263</f>
        <v>2612162.2203614451</v>
      </c>
    </row>
    <row r="265" spans="1:8">
      <c r="A265" s="5" t="s">
        <v>736</v>
      </c>
      <c r="C265" s="12">
        <f>C264</f>
        <v>-2929530</v>
      </c>
      <c r="D265" s="12">
        <f>C265+D264</f>
        <v>-2726303.0958904112</v>
      </c>
      <c r="E265" s="12">
        <f>D265+E264</f>
        <v>-2075779.6440419182</v>
      </c>
      <c r="F265" s="12">
        <f>E265+F264</f>
        <v>-976054.1233842501</v>
      </c>
      <c r="G265" s="12">
        <f>F265+G264</f>
        <v>436593.62998085772</v>
      </c>
      <c r="H265" s="12">
        <f>G265+H264</f>
        <v>3048755.8503423026</v>
      </c>
    </row>
    <row r="266" spans="1:8">
      <c r="A266" s="5" t="s">
        <v>737</v>
      </c>
      <c r="D266" s="26">
        <f>IF(AND(C265&lt;0,D265&gt;=0),0+(-C265)/D264,0)</f>
        <v>0</v>
      </c>
      <c r="E266" s="26">
        <f>IF(AND(D265&lt;0,E265&gt;=0),1+(-D265)/E264,0)</f>
        <v>0</v>
      </c>
      <c r="F266" s="26">
        <f>IF(AND(E265&lt;0,F265&gt;=0),2+(-E265)/F264,0)</f>
        <v>0</v>
      </c>
      <c r="G266" s="26">
        <f>IF(AND(F265&lt;0,G265&gt;=0),3+(-F265)/G264,0)</f>
        <v>3.6909394936275968</v>
      </c>
      <c r="H266" s="26">
        <f>IF(AND(G265&lt;0,H265&gt;=0),4+(-G265)/H264,0)</f>
        <v>0</v>
      </c>
    </row>
    <row r="267" spans="1:8">
      <c r="A267" s="16" t="s">
        <v>724</v>
      </c>
      <c r="C267" s="76">
        <f>C264+NPV('04_Assumptions'!$C$74,D264:H264)</f>
        <v>770139.45070723211</v>
      </c>
    </row>
    <row r="268" spans="1:8">
      <c r="A268" s="16" t="s">
        <v>725</v>
      </c>
      <c r="C268" s="77">
        <f>IFERROR(IRR(C264:H264),"n/a")</f>
        <v>0.20655417274461207</v>
      </c>
    </row>
    <row r="269" spans="1:8">
      <c r="A269" s="16" t="s">
        <v>738</v>
      </c>
      <c r="C269" s="78">
        <f>IF(SUM(D266:H266)=0,"&gt; 5 yrs",SUM(D266:H266))</f>
        <v>3.6909394936275968</v>
      </c>
    </row>
    <row r="272" spans="1:8">
      <c r="A272" s="55" t="s">
        <v>768</v>
      </c>
      <c r="B272" s="74"/>
      <c r="C272" s="75" t="s">
        <v>406</v>
      </c>
      <c r="D272" s="75" t="s">
        <v>276</v>
      </c>
      <c r="E272" s="75" t="s">
        <v>495</v>
      </c>
      <c r="F272" s="75" t="s">
        <v>496</v>
      </c>
      <c r="G272" s="75" t="s">
        <v>497</v>
      </c>
      <c r="H272" s="75" t="s">
        <v>465</v>
      </c>
    </row>
    <row r="273" spans="1:8">
      <c r="A273" s="5" t="s">
        <v>608</v>
      </c>
      <c r="C273" s="12">
        <v>0</v>
      </c>
      <c r="D273" s="6">
        <f>'07_Revenue_Model'!D11*(1+0)*(1+0)</f>
        <v>3960000</v>
      </c>
      <c r="E273" s="6">
        <f>'07_Revenue_Model'!E11*(1+0)*(1+0)</f>
        <v>4989600</v>
      </c>
      <c r="F273" s="6">
        <f>'07_Revenue_Model'!F11*(1+0)*(1+0)</f>
        <v>6112260</v>
      </c>
      <c r="G273" s="6">
        <f>'07_Revenue_Model'!G11*(1+0)*(1+0)</f>
        <v>6967976.4000000013</v>
      </c>
      <c r="H273" s="6">
        <f>'07_Revenue_Model'!H11*(1+0)*(1+0)</f>
        <v>7701447.5999999996</v>
      </c>
    </row>
    <row r="274" spans="1:8">
      <c r="A274" s="5" t="s">
        <v>610</v>
      </c>
      <c r="C274" s="12">
        <v>0</v>
      </c>
      <c r="D274" s="6">
        <f>'08_Cost_Model'!D9*(1+0)*(1+$E$6)</f>
        <v>1425600</v>
      </c>
      <c r="E274" s="6">
        <f>'08_Cost_Model'!E9*(1+0)*(1+$E$6)</f>
        <v>1796256</v>
      </c>
      <c r="F274" s="6">
        <f>'08_Cost_Model'!F9*(1+0)*(1+$E$6)</f>
        <v>2200413.6</v>
      </c>
      <c r="G274" s="6">
        <f>'08_Cost_Model'!G9*(1+0)*(1+$E$6)</f>
        <v>2508471.5040000002</v>
      </c>
      <c r="H274" s="6">
        <f>'08_Cost_Model'!H9*(1+0)*(1+$E$6)</f>
        <v>2772521.1359999999</v>
      </c>
    </row>
    <row r="275" spans="1:8">
      <c r="A275" s="5" t="s">
        <v>622</v>
      </c>
      <c r="C275" s="12">
        <v>0</v>
      </c>
      <c r="D275" s="6">
        <f>'08_Cost_Model'!D21*(1+0)</f>
        <v>2462580</v>
      </c>
      <c r="E275" s="6">
        <f>'08_Cost_Model'!E21*(1+0)</f>
        <v>2611953</v>
      </c>
      <c r="F275" s="6">
        <f>'08_Cost_Model'!F21*(1+0)</f>
        <v>2770224.1380000003</v>
      </c>
      <c r="G275" s="6">
        <f>'08_Cost_Model'!G21*(1+0)</f>
        <v>2931515.6293800003</v>
      </c>
      <c r="H275" s="6">
        <f>'08_Cost_Model'!H21*(1+0)</f>
        <v>3098781.8626698013</v>
      </c>
    </row>
    <row r="276" spans="1:8">
      <c r="A276" s="16" t="s">
        <v>623</v>
      </c>
      <c r="C276" s="12">
        <v>0</v>
      </c>
      <c r="D276" s="43">
        <f>D273-D274-D275</f>
        <v>71820</v>
      </c>
      <c r="E276" s="43">
        <f>E273-E274-E275</f>
        <v>581391</v>
      </c>
      <c r="F276" s="43">
        <f>F273-F274-F275</f>
        <v>1141622.2619999996</v>
      </c>
      <c r="G276" s="43">
        <f>G273-G274-G275</f>
        <v>1527989.2666200013</v>
      </c>
      <c r="H276" s="43">
        <f>H273-H274-H275</f>
        <v>1830144.6013301983</v>
      </c>
    </row>
    <row r="277" spans="1:8">
      <c r="A277" s="5" t="s">
        <v>731</v>
      </c>
      <c r="C277" s="12">
        <v>0</v>
      </c>
      <c r="D277" s="6">
        <f>'09_Assets_Depreciation'!D20</f>
        <v>333550</v>
      </c>
      <c r="E277" s="6">
        <f>'09_Assets_Depreciation'!E20</f>
        <v>333550</v>
      </c>
      <c r="F277" s="6">
        <f>'09_Assets_Depreciation'!F20</f>
        <v>333550</v>
      </c>
      <c r="G277" s="6">
        <f>'09_Assets_Depreciation'!G20</f>
        <v>333550</v>
      </c>
      <c r="H277" s="6">
        <f>'09_Assets_Depreciation'!H20</f>
        <v>313550</v>
      </c>
    </row>
    <row r="278" spans="1:8">
      <c r="A278" s="5" t="s">
        <v>625</v>
      </c>
      <c r="C278" s="12">
        <v>0</v>
      </c>
      <c r="D278" s="12">
        <f>D276-D277</f>
        <v>-261730</v>
      </c>
      <c r="E278" s="12">
        <f>E276-E277</f>
        <v>247841</v>
      </c>
      <c r="F278" s="12">
        <f>F276-F277</f>
        <v>808072.26199999964</v>
      </c>
      <c r="G278" s="12">
        <f>G276-G277</f>
        <v>1194439.2666200013</v>
      </c>
      <c r="H278" s="12">
        <f>H276-H277</f>
        <v>1516594.6013301983</v>
      </c>
    </row>
    <row r="279" spans="1:8">
      <c r="A279" s="5" t="s">
        <v>657</v>
      </c>
      <c r="C279" s="12">
        <v>0</v>
      </c>
      <c r="D279" s="6">
        <f>MAX(0,D278)*'04_Assumptions'!$C$40</f>
        <v>0</v>
      </c>
      <c r="E279" s="6">
        <f>MAX(0,E278)*'04_Assumptions'!$C$40</f>
        <v>62381.579699999995</v>
      </c>
      <c r="F279" s="6">
        <f>MAX(0,F278)*'04_Assumptions'!$C$40</f>
        <v>203391.78834539989</v>
      </c>
      <c r="G279" s="6">
        <f>MAX(0,G278)*'04_Assumptions'!$C$40</f>
        <v>300640.36340825428</v>
      </c>
      <c r="H279" s="6">
        <f>MAX(0,H278)*'04_Assumptions'!$C$40</f>
        <v>381726.86115481087</v>
      </c>
    </row>
    <row r="280" spans="1:8">
      <c r="A280" s="5" t="s">
        <v>732</v>
      </c>
      <c r="C280" s="12">
        <v>0</v>
      </c>
      <c r="D280" s="12">
        <f>D278-D279</f>
        <v>-261730</v>
      </c>
      <c r="E280" s="12">
        <f>E278-E279</f>
        <v>185459.4203</v>
      </c>
      <c r="F280" s="12">
        <f>F278-F279</f>
        <v>604680.47365459974</v>
      </c>
      <c r="G280" s="12">
        <f>G278-G279</f>
        <v>893798.90321174706</v>
      </c>
      <c r="H280" s="12">
        <f>H278-H279</f>
        <v>1134867.7401753874</v>
      </c>
    </row>
    <row r="281" spans="1:8">
      <c r="A281" s="5" t="s">
        <v>733</v>
      </c>
      <c r="C281" s="12">
        <v>0</v>
      </c>
      <c r="D281" s="6">
        <f>D273*'04_Assumptions'!$C$42/365+D274*'04_Assumptions'!$C$43/365-D274*'04_Assumptions'!$C$44/365</f>
        <v>9981.3698630137005</v>
      </c>
      <c r="E281" s="6">
        <f>E273*'04_Assumptions'!$C$42/365+E274*'04_Assumptions'!$C$43/365-E274*'04_Assumptions'!$C$44/365</f>
        <v>12576.52602739726</v>
      </c>
      <c r="F281" s="6">
        <f>F273*'04_Assumptions'!$C$42/365+F274*'04_Assumptions'!$C$43/365-F274*'04_Assumptions'!$C$44/365</f>
        <v>15406.244383561636</v>
      </c>
      <c r="G281" s="6">
        <f>G273*'04_Assumptions'!$C$42/365+G274*'04_Assumptions'!$C$43/365-G274*'04_Assumptions'!$C$44/365</f>
        <v>17563.118597260283</v>
      </c>
      <c r="H281" s="6">
        <f>H273*'04_Assumptions'!$C$42/365+H274*'04_Assumptions'!$C$43/365-H274*'04_Assumptions'!$C$44/365</f>
        <v>19411.867923287675</v>
      </c>
    </row>
    <row r="282" spans="1:8">
      <c r="A282" s="5" t="s">
        <v>734</v>
      </c>
      <c r="C282" s="12">
        <v>0</v>
      </c>
      <c r="D282" s="12">
        <f>D281-C281</f>
        <v>9981.3698630137005</v>
      </c>
      <c r="E282" s="12">
        <f>E281-D281</f>
        <v>2595.1561643835594</v>
      </c>
      <c r="F282" s="12">
        <f>F281-E281</f>
        <v>2829.718356164376</v>
      </c>
      <c r="G282" s="12">
        <f>G281-F281</f>
        <v>2156.8742136986475</v>
      </c>
      <c r="H282" s="12">
        <f>H281-G281</f>
        <v>1848.7493260273914</v>
      </c>
    </row>
    <row r="283" spans="1:8">
      <c r="A283" s="5" t="s">
        <v>735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6">
        <f>'15_Project_FCF'!H14+'15_Project_FCF'!H15+'15_Project_FCF'!H16</f>
        <v>958342.5</v>
      </c>
    </row>
    <row r="284" spans="1:8">
      <c r="A284" s="16" t="s">
        <v>673</v>
      </c>
      <c r="C284" s="76">
        <f>'15_Project_FCF'!C17</f>
        <v>-2929530</v>
      </c>
      <c r="D284" s="43">
        <f>D280+D277-D282+D283</f>
        <v>61838.630136986299</v>
      </c>
      <c r="E284" s="43">
        <f>E280+E277-E282+E283</f>
        <v>516414.26413561642</v>
      </c>
      <c r="F284" s="43">
        <f>F280+F277-F282+F283</f>
        <v>935400.75529843534</v>
      </c>
      <c r="G284" s="43">
        <f>G280+G277-G282+G283</f>
        <v>1225192.0289980485</v>
      </c>
      <c r="H284" s="43">
        <f>H280+H277-H282+H283</f>
        <v>2404911.4908493599</v>
      </c>
    </row>
    <row r="285" spans="1:8">
      <c r="A285" s="5" t="s">
        <v>736</v>
      </c>
      <c r="C285" s="12">
        <f>C284</f>
        <v>-2929530</v>
      </c>
      <c r="D285" s="12">
        <f>C285+D284</f>
        <v>-2867691.3698630137</v>
      </c>
      <c r="E285" s="12">
        <f>D285+E284</f>
        <v>-2351277.1057273974</v>
      </c>
      <c r="F285" s="12">
        <f>E285+F284</f>
        <v>-1415876.3504289621</v>
      </c>
      <c r="G285" s="12">
        <f>F285+G284</f>
        <v>-190684.32143091364</v>
      </c>
      <c r="H285" s="12">
        <f>G285+H284</f>
        <v>2214227.1694184463</v>
      </c>
    </row>
    <row r="286" spans="1:8">
      <c r="A286" s="5" t="s">
        <v>737</v>
      </c>
      <c r="D286" s="26">
        <f>IF(AND(C285&lt;0,D285&gt;=0),0+(-C285)/D284,0)</f>
        <v>0</v>
      </c>
      <c r="E286" s="26">
        <f>IF(AND(D285&lt;0,E285&gt;=0),1+(-D285)/E284,0)</f>
        <v>0</v>
      </c>
      <c r="F286" s="26">
        <f>IF(AND(E285&lt;0,F285&gt;=0),2+(-E285)/F284,0)</f>
        <v>0</v>
      </c>
      <c r="G286" s="26">
        <f>IF(AND(F285&lt;0,G285&gt;=0),3+(-F285)/G284,0)</f>
        <v>0</v>
      </c>
      <c r="H286" s="26">
        <f>IF(AND(G285&lt;0,H285&gt;=0),4+(-G285)/H284,0)</f>
        <v>4.0792895381624081</v>
      </c>
    </row>
    <row r="287" spans="1:8">
      <c r="A287" s="16" t="s">
        <v>724</v>
      </c>
      <c r="C287" s="76">
        <f>C284+NPV('04_Assumptions'!$C$74,D284:H284)</f>
        <v>203004.09969634889</v>
      </c>
    </row>
    <row r="288" spans="1:8">
      <c r="A288" s="16" t="s">
        <v>725</v>
      </c>
      <c r="C288" s="77">
        <f>IFERROR(IRR(C284:H284),"n/a")</f>
        <v>0.15261854563751551</v>
      </c>
    </row>
    <row r="289" spans="1:8">
      <c r="A289" s="16" t="s">
        <v>738</v>
      </c>
      <c r="C289" s="78">
        <f>IF(SUM(D286:H286)=0,"&gt; 5 yrs",SUM(D286:H286))</f>
        <v>4.0792895381624081</v>
      </c>
    </row>
    <row r="292" spans="1:8">
      <c r="A292" s="55" t="s">
        <v>769</v>
      </c>
      <c r="B292" s="74"/>
      <c r="C292" s="75" t="s">
        <v>406</v>
      </c>
      <c r="D292" s="75" t="s">
        <v>276</v>
      </c>
      <c r="E292" s="75" t="s">
        <v>495</v>
      </c>
      <c r="F292" s="75" t="s">
        <v>496</v>
      </c>
      <c r="G292" s="75" t="s">
        <v>497</v>
      </c>
      <c r="H292" s="75" t="s">
        <v>465</v>
      </c>
    </row>
    <row r="293" spans="1:8">
      <c r="A293" s="5" t="s">
        <v>608</v>
      </c>
      <c r="C293" s="12">
        <v>0</v>
      </c>
      <c r="D293" s="6">
        <f>'07_Revenue_Model'!D11*(1+0)*(1+0)</f>
        <v>3960000</v>
      </c>
      <c r="E293" s="6">
        <f>'07_Revenue_Model'!E11*(1+0)*(1+0)</f>
        <v>4989600</v>
      </c>
      <c r="F293" s="6">
        <f>'07_Revenue_Model'!F11*(1+0)*(1+0)</f>
        <v>6112260</v>
      </c>
      <c r="G293" s="6">
        <f>'07_Revenue_Model'!G11*(1+0)*(1+0)</f>
        <v>6967976.4000000013</v>
      </c>
      <c r="H293" s="6">
        <f>'07_Revenue_Model'!H11*(1+0)*(1+0)</f>
        <v>7701447.5999999996</v>
      </c>
    </row>
    <row r="294" spans="1:8">
      <c r="A294" s="5" t="s">
        <v>610</v>
      </c>
      <c r="C294" s="12">
        <v>0</v>
      </c>
      <c r="D294" s="6">
        <f>'08_Cost_Model'!D9*(1+0)*(1+$F$6)</f>
        <v>1568160.0000000002</v>
      </c>
      <c r="E294" s="6">
        <f>'08_Cost_Model'!E9*(1+0)*(1+$F$6)</f>
        <v>1975881.6</v>
      </c>
      <c r="F294" s="6">
        <f>'08_Cost_Model'!F9*(1+0)*(1+$F$6)</f>
        <v>2420454.9600000004</v>
      </c>
      <c r="G294" s="6">
        <f>'08_Cost_Model'!G9*(1+0)*(1+$F$6)</f>
        <v>2759318.6544000003</v>
      </c>
      <c r="H294" s="6">
        <f>'08_Cost_Model'!H9*(1+0)*(1+$F$6)</f>
        <v>3049773.2496000002</v>
      </c>
    </row>
    <row r="295" spans="1:8">
      <c r="A295" s="5" t="s">
        <v>622</v>
      </c>
      <c r="C295" s="12">
        <v>0</v>
      </c>
      <c r="D295" s="6">
        <f>'08_Cost_Model'!D21*(1+0)</f>
        <v>2462580</v>
      </c>
      <c r="E295" s="6">
        <f>'08_Cost_Model'!E21*(1+0)</f>
        <v>2611953</v>
      </c>
      <c r="F295" s="6">
        <f>'08_Cost_Model'!F21*(1+0)</f>
        <v>2770224.1380000003</v>
      </c>
      <c r="G295" s="6">
        <f>'08_Cost_Model'!G21*(1+0)</f>
        <v>2931515.6293800003</v>
      </c>
      <c r="H295" s="6">
        <f>'08_Cost_Model'!H21*(1+0)</f>
        <v>3098781.8626698013</v>
      </c>
    </row>
    <row r="296" spans="1:8">
      <c r="A296" s="16" t="s">
        <v>623</v>
      </c>
      <c r="C296" s="12">
        <v>0</v>
      </c>
      <c r="D296" s="43">
        <f>D293-D294-D295</f>
        <v>-70740</v>
      </c>
      <c r="E296" s="43">
        <f>E293-E294-E295</f>
        <v>401765.39999999991</v>
      </c>
      <c r="F296" s="43">
        <f>F293-F294-F295</f>
        <v>921580.9019999993</v>
      </c>
      <c r="G296" s="43">
        <f>G293-G294-G295</f>
        <v>1277142.1162200007</v>
      </c>
      <c r="H296" s="43">
        <f>H293-H294-H295</f>
        <v>1552892.4877301976</v>
      </c>
    </row>
    <row r="297" spans="1:8">
      <c r="A297" s="5" t="s">
        <v>731</v>
      </c>
      <c r="C297" s="12">
        <v>0</v>
      </c>
      <c r="D297" s="6">
        <f>'09_Assets_Depreciation'!D20</f>
        <v>333550</v>
      </c>
      <c r="E297" s="6">
        <f>'09_Assets_Depreciation'!E20</f>
        <v>333550</v>
      </c>
      <c r="F297" s="6">
        <f>'09_Assets_Depreciation'!F20</f>
        <v>333550</v>
      </c>
      <c r="G297" s="6">
        <f>'09_Assets_Depreciation'!G20</f>
        <v>333550</v>
      </c>
      <c r="H297" s="6">
        <f>'09_Assets_Depreciation'!H20</f>
        <v>313550</v>
      </c>
    </row>
    <row r="298" spans="1:8">
      <c r="A298" s="5" t="s">
        <v>625</v>
      </c>
      <c r="C298" s="12">
        <v>0</v>
      </c>
      <c r="D298" s="12">
        <f>D296-D297</f>
        <v>-404290</v>
      </c>
      <c r="E298" s="12">
        <f>E296-E297</f>
        <v>68215.399999999907</v>
      </c>
      <c r="F298" s="12">
        <f>F296-F297</f>
        <v>588030.9019999993</v>
      </c>
      <c r="G298" s="12">
        <f>G296-G297</f>
        <v>943592.11622000067</v>
      </c>
      <c r="H298" s="12">
        <f>H296-H297</f>
        <v>1239342.4877301976</v>
      </c>
    </row>
    <row r="299" spans="1:8">
      <c r="A299" s="5" t="s">
        <v>657</v>
      </c>
      <c r="C299" s="12">
        <v>0</v>
      </c>
      <c r="D299" s="6">
        <f>MAX(0,D298)*'04_Assumptions'!$C$40</f>
        <v>0</v>
      </c>
      <c r="E299" s="6">
        <f>MAX(0,E298)*'04_Assumptions'!$C$40</f>
        <v>17169.816179999976</v>
      </c>
      <c r="F299" s="6">
        <f>MAX(0,F298)*'04_Assumptions'!$C$40</f>
        <v>148007.37803339981</v>
      </c>
      <c r="G299" s="6">
        <f>MAX(0,G298)*'04_Assumptions'!$C$40</f>
        <v>237502.13565257416</v>
      </c>
      <c r="H299" s="6">
        <f>MAX(0,H298)*'04_Assumptions'!$C$40</f>
        <v>311942.50416169071</v>
      </c>
    </row>
    <row r="300" spans="1:8">
      <c r="A300" s="5" t="s">
        <v>732</v>
      </c>
      <c r="C300" s="12">
        <v>0</v>
      </c>
      <c r="D300" s="12">
        <f>D298-D299</f>
        <v>-404290</v>
      </c>
      <c r="E300" s="12">
        <f>E298-E299</f>
        <v>51045.583819999927</v>
      </c>
      <c r="F300" s="12">
        <f>F298-F299</f>
        <v>440023.52396659949</v>
      </c>
      <c r="G300" s="12">
        <f>G298-G299</f>
        <v>706089.98056742654</v>
      </c>
      <c r="H300" s="12">
        <f>H298-H299</f>
        <v>927399.9835685069</v>
      </c>
    </row>
    <row r="301" spans="1:8">
      <c r="A301" s="5" t="s">
        <v>733</v>
      </c>
      <c r="C301" s="12">
        <v>0</v>
      </c>
      <c r="D301" s="6">
        <f>D293*'04_Assumptions'!$C$42/365+D294*'04_Assumptions'!$C$43/365-D294*'04_Assumptions'!$C$44/365</f>
        <v>8809.6438356164435</v>
      </c>
      <c r="E301" s="6">
        <f>E293*'04_Assumptions'!$C$42/365+E294*'04_Assumptions'!$C$43/365-E294*'04_Assumptions'!$C$44/365</f>
        <v>11100.15123287672</v>
      </c>
      <c r="F301" s="6">
        <f>F293*'04_Assumptions'!$C$42/365+F294*'04_Assumptions'!$C$43/365-F294*'04_Assumptions'!$C$44/365</f>
        <v>13597.685260273967</v>
      </c>
      <c r="G301" s="6">
        <f>G293*'04_Assumptions'!$C$42/365+G294*'04_Assumptions'!$C$43/365-G294*'04_Assumptions'!$C$44/365</f>
        <v>15501.361196712329</v>
      </c>
      <c r="H301" s="6">
        <f>H293*'04_Assumptions'!$C$42/365+H294*'04_Assumptions'!$C$43/365-H294*'04_Assumptions'!$C$44/365</f>
        <v>17133.083427945196</v>
      </c>
    </row>
    <row r="302" spans="1:8">
      <c r="A302" s="5" t="s">
        <v>734</v>
      </c>
      <c r="C302" s="12">
        <v>0</v>
      </c>
      <c r="D302" s="12">
        <f>D301-C301</f>
        <v>8809.6438356164435</v>
      </c>
      <c r="E302" s="12">
        <f>E301-D301</f>
        <v>2290.5073972602768</v>
      </c>
      <c r="F302" s="12">
        <f>F301-E301</f>
        <v>2497.534027397247</v>
      </c>
      <c r="G302" s="12">
        <f>G301-F301</f>
        <v>1903.6759364383615</v>
      </c>
      <c r="H302" s="12">
        <f>H301-G301</f>
        <v>1631.7222312328668</v>
      </c>
    </row>
    <row r="303" spans="1:8">
      <c r="A303" s="5" t="s">
        <v>735</v>
      </c>
      <c r="C303" s="12">
        <v>0</v>
      </c>
      <c r="D303" s="12">
        <v>0</v>
      </c>
      <c r="E303" s="12">
        <v>0</v>
      </c>
      <c r="F303" s="12">
        <v>0</v>
      </c>
      <c r="G303" s="12">
        <v>0</v>
      </c>
      <c r="H303" s="6">
        <f>'15_Project_FCF'!H14+'15_Project_FCF'!H15+'15_Project_FCF'!H16</f>
        <v>958342.5</v>
      </c>
    </row>
    <row r="304" spans="1:8">
      <c r="A304" s="16" t="s">
        <v>673</v>
      </c>
      <c r="C304" s="76">
        <f>'15_Project_FCF'!C17</f>
        <v>-2929530</v>
      </c>
      <c r="D304" s="43">
        <f>D300+D297-D302+D303</f>
        <v>-79549.643835616444</v>
      </c>
      <c r="E304" s="43">
        <f>E300+E297-E302+E303</f>
        <v>382305.07642273966</v>
      </c>
      <c r="F304" s="43">
        <f>F300+F297-F302+F303</f>
        <v>771075.98993920221</v>
      </c>
      <c r="G304" s="43">
        <f>G300+G297-G302+G303</f>
        <v>1037736.3046309882</v>
      </c>
      <c r="H304" s="43">
        <f>H300+H297-H302+H303</f>
        <v>2197660.7613372738</v>
      </c>
    </row>
    <row r="305" spans="1:8">
      <c r="A305" s="5" t="s">
        <v>736</v>
      </c>
      <c r="C305" s="12">
        <f>C304</f>
        <v>-2929530</v>
      </c>
      <c r="D305" s="12">
        <f>C305+D304</f>
        <v>-3009079.6438356163</v>
      </c>
      <c r="E305" s="12">
        <f>D305+E304</f>
        <v>-2626774.5674128765</v>
      </c>
      <c r="F305" s="12">
        <f>E305+F304</f>
        <v>-1855698.5774736744</v>
      </c>
      <c r="G305" s="12">
        <f>F305+G304</f>
        <v>-817962.27284268627</v>
      </c>
      <c r="H305" s="12">
        <f>G305+H304</f>
        <v>1379698.4884945876</v>
      </c>
    </row>
    <row r="306" spans="1:8">
      <c r="A306" s="5" t="s">
        <v>737</v>
      </c>
      <c r="D306" s="26">
        <f>IF(AND(C305&lt;0,D305&gt;=0),0+(-C305)/D304,0)</f>
        <v>0</v>
      </c>
      <c r="E306" s="26">
        <f>IF(AND(D305&lt;0,E305&gt;=0),1+(-D305)/E304,0)</f>
        <v>0</v>
      </c>
      <c r="F306" s="26">
        <f>IF(AND(E305&lt;0,F305&gt;=0),2+(-E305)/F304,0)</f>
        <v>0</v>
      </c>
      <c r="G306" s="26">
        <f>IF(AND(F305&lt;0,G305&gt;=0),3+(-F305)/G304,0)</f>
        <v>0</v>
      </c>
      <c r="H306" s="26">
        <f>IF(AND(G305&lt;0,H305&gt;=0),4+(-G305)/H304,0)</f>
        <v>4.372196786343383</v>
      </c>
    </row>
    <row r="307" spans="1:8">
      <c r="A307" s="16" t="s">
        <v>724</v>
      </c>
      <c r="C307" s="76">
        <f>C304+NPV('04_Assumptions'!$C$74,D304:H304)</f>
        <v>-364131.2513145362</v>
      </c>
    </row>
    <row r="308" spans="1:8">
      <c r="A308" s="16" t="s">
        <v>725</v>
      </c>
      <c r="C308" s="77">
        <f>IFERROR(IRR(C304:H304),"n/a")</f>
        <v>9.69668787733559E-2</v>
      </c>
    </row>
    <row r="309" spans="1:8">
      <c r="A309" s="16" t="s">
        <v>738</v>
      </c>
      <c r="C309" s="78">
        <f>IF(SUM(D306:H306)=0,"&gt; 5 yrs",SUM(D306:H306))</f>
        <v>4.372196786343383</v>
      </c>
    </row>
    <row r="312" spans="1:8">
      <c r="A312" s="55" t="s">
        <v>770</v>
      </c>
      <c r="B312" s="74"/>
      <c r="C312" s="75" t="s">
        <v>406</v>
      </c>
      <c r="D312" s="75" t="s">
        <v>276</v>
      </c>
      <c r="E312" s="75" t="s">
        <v>495</v>
      </c>
      <c r="F312" s="75" t="s">
        <v>496</v>
      </c>
      <c r="G312" s="75" t="s">
        <v>497</v>
      </c>
      <c r="H312" s="75" t="s">
        <v>465</v>
      </c>
    </row>
    <row r="313" spans="1:8">
      <c r="A313" s="5" t="s">
        <v>608</v>
      </c>
      <c r="C313" s="12">
        <v>0</v>
      </c>
      <c r="D313" s="6">
        <f>'07_Revenue_Model'!D11*(1+0)*(1+0)</f>
        <v>3960000</v>
      </c>
      <c r="E313" s="6">
        <f>'07_Revenue_Model'!E11*(1+0)*(1+0)</f>
        <v>4989600</v>
      </c>
      <c r="F313" s="6">
        <f>'07_Revenue_Model'!F11*(1+0)*(1+0)</f>
        <v>6112260</v>
      </c>
      <c r="G313" s="6">
        <f>'07_Revenue_Model'!G11*(1+0)*(1+0)</f>
        <v>6967976.4000000013</v>
      </c>
      <c r="H313" s="6">
        <f>'07_Revenue_Model'!H11*(1+0)*(1+0)</f>
        <v>7701447.5999999996</v>
      </c>
    </row>
    <row r="314" spans="1:8">
      <c r="A314" s="5" t="s">
        <v>610</v>
      </c>
      <c r="C314" s="12">
        <v>0</v>
      </c>
      <c r="D314" s="6">
        <f>'08_Cost_Model'!D9*(1+0)*(1+$G$6)</f>
        <v>1710720</v>
      </c>
      <c r="E314" s="6">
        <f>'08_Cost_Model'!E9*(1+0)*(1+$G$6)</f>
        <v>2155507.1999999997</v>
      </c>
      <c r="F314" s="6">
        <f>'08_Cost_Model'!F9*(1+0)*(1+$G$6)</f>
        <v>2640496.3199999998</v>
      </c>
      <c r="G314" s="6">
        <f>'08_Cost_Model'!G9*(1+0)*(1+$G$6)</f>
        <v>3010165.8048</v>
      </c>
      <c r="H314" s="6">
        <f>'08_Cost_Model'!H9*(1+0)*(1+$G$6)</f>
        <v>3327025.3632</v>
      </c>
    </row>
    <row r="315" spans="1:8">
      <c r="A315" s="5" t="s">
        <v>622</v>
      </c>
      <c r="C315" s="12">
        <v>0</v>
      </c>
      <c r="D315" s="6">
        <f>'08_Cost_Model'!D21*(1+0)</f>
        <v>2462580</v>
      </c>
      <c r="E315" s="6">
        <f>'08_Cost_Model'!E21*(1+0)</f>
        <v>2611953</v>
      </c>
      <c r="F315" s="6">
        <f>'08_Cost_Model'!F21*(1+0)</f>
        <v>2770224.1380000003</v>
      </c>
      <c r="G315" s="6">
        <f>'08_Cost_Model'!G21*(1+0)</f>
        <v>2931515.6293800003</v>
      </c>
      <c r="H315" s="6">
        <f>'08_Cost_Model'!H21*(1+0)</f>
        <v>3098781.8626698013</v>
      </c>
    </row>
    <row r="316" spans="1:8">
      <c r="A316" s="16" t="s">
        <v>623</v>
      </c>
      <c r="C316" s="12">
        <v>0</v>
      </c>
      <c r="D316" s="43">
        <f>D313-D314-D315</f>
        <v>-213300</v>
      </c>
      <c r="E316" s="43">
        <f>E313-E314-E315</f>
        <v>222139.80000000028</v>
      </c>
      <c r="F316" s="43">
        <f>F313-F314-F315</f>
        <v>701539.5419999999</v>
      </c>
      <c r="G316" s="43">
        <f>G313-G314-G315</f>
        <v>1026294.965820001</v>
      </c>
      <c r="H316" s="43">
        <f>H313-H314-H315</f>
        <v>1275640.3741301987</v>
      </c>
    </row>
    <row r="317" spans="1:8">
      <c r="A317" s="5" t="s">
        <v>731</v>
      </c>
      <c r="C317" s="12">
        <v>0</v>
      </c>
      <c r="D317" s="6">
        <f>'09_Assets_Depreciation'!D20</f>
        <v>333550</v>
      </c>
      <c r="E317" s="6">
        <f>'09_Assets_Depreciation'!E20</f>
        <v>333550</v>
      </c>
      <c r="F317" s="6">
        <f>'09_Assets_Depreciation'!F20</f>
        <v>333550</v>
      </c>
      <c r="G317" s="6">
        <f>'09_Assets_Depreciation'!G20</f>
        <v>333550</v>
      </c>
      <c r="H317" s="6">
        <f>'09_Assets_Depreciation'!H20</f>
        <v>313550</v>
      </c>
    </row>
    <row r="318" spans="1:8">
      <c r="A318" s="5" t="s">
        <v>625</v>
      </c>
      <c r="C318" s="12">
        <v>0</v>
      </c>
      <c r="D318" s="12">
        <f>D316-D317</f>
        <v>-546850</v>
      </c>
      <c r="E318" s="12">
        <f>E316-E317</f>
        <v>-111410.19999999972</v>
      </c>
      <c r="F318" s="12">
        <f>F316-F317</f>
        <v>367989.5419999999</v>
      </c>
      <c r="G318" s="12">
        <f>G316-G317</f>
        <v>692744.96582000097</v>
      </c>
      <c r="H318" s="12">
        <f>H316-H317</f>
        <v>962090.37413019873</v>
      </c>
    </row>
    <row r="319" spans="1:8">
      <c r="A319" s="5" t="s">
        <v>657</v>
      </c>
      <c r="C319" s="12">
        <v>0</v>
      </c>
      <c r="D319" s="6">
        <f>MAX(0,D318)*'04_Assumptions'!$C$40</f>
        <v>0</v>
      </c>
      <c r="E319" s="6">
        <f>MAX(0,E318)*'04_Assumptions'!$C$40</f>
        <v>0</v>
      </c>
      <c r="F319" s="6">
        <f>MAX(0,F318)*'04_Assumptions'!$C$40</f>
        <v>92622.967721399968</v>
      </c>
      <c r="G319" s="6">
        <f>MAX(0,G318)*'04_Assumptions'!$C$40</f>
        <v>174363.90789689423</v>
      </c>
      <c r="H319" s="6">
        <f>MAX(0,H318)*'04_Assumptions'!$C$40</f>
        <v>242158.14716857101</v>
      </c>
    </row>
    <row r="320" spans="1:8">
      <c r="A320" s="5" t="s">
        <v>732</v>
      </c>
      <c r="C320" s="12">
        <v>0</v>
      </c>
      <c r="D320" s="12">
        <f>D318-D319</f>
        <v>-546850</v>
      </c>
      <c r="E320" s="12">
        <f>E318-E319</f>
        <v>-111410.19999999972</v>
      </c>
      <c r="F320" s="12">
        <f>F318-F319</f>
        <v>275366.57427859993</v>
      </c>
      <c r="G320" s="12">
        <f>G318-G319</f>
        <v>518381.05792310671</v>
      </c>
      <c r="H320" s="12">
        <f>H318-H319</f>
        <v>719932.22696162772</v>
      </c>
    </row>
    <row r="321" spans="1:8">
      <c r="A321" s="5" t="s">
        <v>733</v>
      </c>
      <c r="C321" s="12">
        <v>0</v>
      </c>
      <c r="D321" s="6">
        <f>D313*'04_Assumptions'!$C$42/365+D314*'04_Assumptions'!$C$43/365-D314*'04_Assumptions'!$C$44/365</f>
        <v>7637.9178082191793</v>
      </c>
      <c r="E321" s="6">
        <f>E313*'04_Assumptions'!$C$42/365+E314*'04_Assumptions'!$C$43/365-E314*'04_Assumptions'!$C$44/365</f>
        <v>9623.7764383561662</v>
      </c>
      <c r="F321" s="6">
        <f>F313*'04_Assumptions'!$C$42/365+F314*'04_Assumptions'!$C$43/365-F314*'04_Assumptions'!$C$44/365</f>
        <v>11789.126136986291</v>
      </c>
      <c r="G321" s="6">
        <f>G313*'04_Assumptions'!$C$42/365+G314*'04_Assumptions'!$C$43/365-G314*'04_Assumptions'!$C$44/365</f>
        <v>13439.603796164389</v>
      </c>
      <c r="H321" s="6">
        <f>H313*'04_Assumptions'!$C$42/365+H314*'04_Assumptions'!$C$43/365-H314*'04_Assumptions'!$C$44/365</f>
        <v>14854.298932602731</v>
      </c>
    </row>
    <row r="322" spans="1:8">
      <c r="A322" s="5" t="s">
        <v>734</v>
      </c>
      <c r="C322" s="12">
        <v>0</v>
      </c>
      <c r="D322" s="12">
        <f>D321-C321</f>
        <v>7637.9178082191793</v>
      </c>
      <c r="E322" s="12">
        <f>E321-D321</f>
        <v>1985.8586301369869</v>
      </c>
      <c r="F322" s="12">
        <f>F321-E321</f>
        <v>2165.3496986301252</v>
      </c>
      <c r="G322" s="12">
        <f>G321-F321</f>
        <v>1650.4776591780974</v>
      </c>
      <c r="H322" s="12">
        <f>H321-G321</f>
        <v>1414.6951364383422</v>
      </c>
    </row>
    <row r="323" spans="1:8">
      <c r="A323" s="5" t="s">
        <v>735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6">
        <f>'15_Project_FCF'!H14+'15_Project_FCF'!H15+'15_Project_FCF'!H16</f>
        <v>958342.5</v>
      </c>
    </row>
    <row r="324" spans="1:8">
      <c r="A324" s="16" t="s">
        <v>673</v>
      </c>
      <c r="C324" s="76">
        <f>'15_Project_FCF'!C17</f>
        <v>-2929530</v>
      </c>
      <c r="D324" s="43">
        <f>D320+D317-D322+D323</f>
        <v>-220937.91780821918</v>
      </c>
      <c r="E324" s="43">
        <f>E320+E317-E322+E323</f>
        <v>220153.94136986329</v>
      </c>
      <c r="F324" s="43">
        <f>F320+F317-F322+F323</f>
        <v>606751.22457996977</v>
      </c>
      <c r="G324" s="43">
        <f>G320+G317-G322+G323</f>
        <v>850280.58026392863</v>
      </c>
      <c r="H324" s="43">
        <f>H320+H317-H322+H323</f>
        <v>1990410.0318251895</v>
      </c>
    </row>
    <row r="325" spans="1:8">
      <c r="A325" s="5" t="s">
        <v>736</v>
      </c>
      <c r="C325" s="12">
        <f>C324</f>
        <v>-2929530</v>
      </c>
      <c r="D325" s="12">
        <f>C325+D324</f>
        <v>-3150467.9178082193</v>
      </c>
      <c r="E325" s="12">
        <f>D325+E324</f>
        <v>-2930313.9764383561</v>
      </c>
      <c r="F325" s="12">
        <f>E325+F324</f>
        <v>-2323562.7518583862</v>
      </c>
      <c r="G325" s="12">
        <f>F325+G324</f>
        <v>-1473282.1715944577</v>
      </c>
      <c r="H325" s="12">
        <f>G325+H324</f>
        <v>517127.86023073178</v>
      </c>
    </row>
    <row r="326" spans="1:8">
      <c r="A326" s="5" t="s">
        <v>737</v>
      </c>
      <c r="D326" s="26">
        <f>IF(AND(C325&lt;0,D325&gt;=0),0+(-C325)/D324,0)</f>
        <v>0</v>
      </c>
      <c r="E326" s="26">
        <f>IF(AND(D325&lt;0,E325&gt;=0),1+(-D325)/E324,0)</f>
        <v>0</v>
      </c>
      <c r="F326" s="26">
        <f>IF(AND(E325&lt;0,F325&gt;=0),2+(-E325)/F324,0)</f>
        <v>0</v>
      </c>
      <c r="G326" s="26">
        <f>IF(AND(F325&lt;0,G325&gt;=0),3+(-F325)/G324,0)</f>
        <v>0</v>
      </c>
      <c r="H326" s="26">
        <f>IF(AND(G325&lt;0,H325&gt;=0),4+(-G325)/H324,0)</f>
        <v>4.7401902864423722</v>
      </c>
    </row>
    <row r="327" spans="1:8">
      <c r="A327" s="16" t="s">
        <v>724</v>
      </c>
      <c r="C327" s="76">
        <f>C324+NPV('04_Assumptions'!$C$74,D324:H324)</f>
        <v>-953114.69430341595</v>
      </c>
    </row>
    <row r="328" spans="1:8">
      <c r="A328" s="16" t="s">
        <v>725</v>
      </c>
      <c r="C328" s="77">
        <f>IFERROR(IRR(C324:H324),"n/a")</f>
        <v>3.7101414517278039E-2</v>
      </c>
    </row>
    <row r="329" spans="1:8">
      <c r="A329" s="16" t="s">
        <v>738</v>
      </c>
      <c r="C329" s="78">
        <f>IF(SUM(D326:H326)=0,"&gt; 5 yrs",SUM(D326:H326))</f>
        <v>4.7401902864423722</v>
      </c>
    </row>
    <row r="332" spans="1:8">
      <c r="A332" s="55" t="s">
        <v>771</v>
      </c>
      <c r="B332" s="74"/>
      <c r="C332" s="75" t="s">
        <v>406</v>
      </c>
      <c r="D332" s="75" t="s">
        <v>276</v>
      </c>
      <c r="E332" s="75" t="s">
        <v>495</v>
      </c>
      <c r="F332" s="75" t="s">
        <v>496</v>
      </c>
      <c r="G332" s="75" t="s">
        <v>497</v>
      </c>
      <c r="H332" s="75" t="s">
        <v>465</v>
      </c>
    </row>
    <row r="333" spans="1:8">
      <c r="A333" s="5" t="s">
        <v>608</v>
      </c>
      <c r="C333" s="12">
        <v>0</v>
      </c>
      <c r="D333" s="6">
        <f>'07_Revenue_Model'!D11*(1+0)*(1+0)</f>
        <v>3960000</v>
      </c>
      <c r="E333" s="6">
        <f>'07_Revenue_Model'!E11*(1+0)*(1+0)</f>
        <v>4989600</v>
      </c>
      <c r="F333" s="6">
        <f>'07_Revenue_Model'!F11*(1+0)*(1+0)</f>
        <v>6112260</v>
      </c>
      <c r="G333" s="6">
        <f>'07_Revenue_Model'!G11*(1+0)*(1+0)</f>
        <v>6967976.4000000013</v>
      </c>
      <c r="H333" s="6">
        <f>'07_Revenue_Model'!H11*(1+0)*(1+0)</f>
        <v>7701447.5999999996</v>
      </c>
    </row>
    <row r="334" spans="1:8">
      <c r="A334" s="5" t="s">
        <v>610</v>
      </c>
      <c r="C334" s="12">
        <v>0</v>
      </c>
      <c r="D334" s="6">
        <f>'08_Cost_Model'!D9*(1+0)*(1+0)</f>
        <v>1425600</v>
      </c>
      <c r="E334" s="6">
        <f>'08_Cost_Model'!E9*(1+0)*(1+0)</f>
        <v>1796256</v>
      </c>
      <c r="F334" s="6">
        <f>'08_Cost_Model'!F9*(1+0)*(1+0)</f>
        <v>2200413.6</v>
      </c>
      <c r="G334" s="6">
        <f>'08_Cost_Model'!G9*(1+0)*(1+0)</f>
        <v>2508471.5040000002</v>
      </c>
      <c r="H334" s="6">
        <f>'08_Cost_Model'!H9*(1+0)*(1+0)</f>
        <v>2772521.1359999999</v>
      </c>
    </row>
    <row r="335" spans="1:8">
      <c r="A335" s="5" t="s">
        <v>622</v>
      </c>
      <c r="C335" s="12">
        <v>0</v>
      </c>
      <c r="D335" s="6">
        <f>'08_Cost_Model'!D21*(1+$C$6)</f>
        <v>1970064</v>
      </c>
      <c r="E335" s="6">
        <f>'08_Cost_Model'!E21*(1+$C$6)</f>
        <v>2089562.4000000001</v>
      </c>
      <c r="F335" s="6">
        <f>'08_Cost_Model'!F21*(1+$C$6)</f>
        <v>2216179.3104000003</v>
      </c>
      <c r="G335" s="6">
        <f>'08_Cost_Model'!G21*(1+$C$6)</f>
        <v>2345212.5035040001</v>
      </c>
      <c r="H335" s="6">
        <f>'08_Cost_Model'!H21*(1+$C$6)</f>
        <v>2479025.4901358411</v>
      </c>
    </row>
    <row r="336" spans="1:8">
      <c r="A336" s="16" t="s">
        <v>623</v>
      </c>
      <c r="C336" s="12">
        <v>0</v>
      </c>
      <c r="D336" s="43">
        <f>D333-D334-D335</f>
        <v>564336</v>
      </c>
      <c r="E336" s="43">
        <f>E333-E334-E335</f>
        <v>1103781.5999999999</v>
      </c>
      <c r="F336" s="43">
        <f>F333-F334-F335</f>
        <v>1695667.0895999996</v>
      </c>
      <c r="G336" s="43">
        <f>G333-G334-G335</f>
        <v>2114292.3924960014</v>
      </c>
      <c r="H336" s="43">
        <f>H333-H334-H335</f>
        <v>2449900.9738641586</v>
      </c>
    </row>
    <row r="337" spans="1:8">
      <c r="A337" s="5" t="s">
        <v>731</v>
      </c>
      <c r="C337" s="12">
        <v>0</v>
      </c>
      <c r="D337" s="6">
        <f>'09_Assets_Depreciation'!D20</f>
        <v>333550</v>
      </c>
      <c r="E337" s="6">
        <f>'09_Assets_Depreciation'!E20</f>
        <v>333550</v>
      </c>
      <c r="F337" s="6">
        <f>'09_Assets_Depreciation'!F20</f>
        <v>333550</v>
      </c>
      <c r="G337" s="6">
        <f>'09_Assets_Depreciation'!G20</f>
        <v>333550</v>
      </c>
      <c r="H337" s="6">
        <f>'09_Assets_Depreciation'!H20</f>
        <v>313550</v>
      </c>
    </row>
    <row r="338" spans="1:8">
      <c r="A338" s="5" t="s">
        <v>625</v>
      </c>
      <c r="C338" s="12">
        <v>0</v>
      </c>
      <c r="D338" s="12">
        <f>D336-D337</f>
        <v>230786</v>
      </c>
      <c r="E338" s="12">
        <f>E336-E337</f>
        <v>770231.59999999986</v>
      </c>
      <c r="F338" s="12">
        <f>F336-F337</f>
        <v>1362117.0895999996</v>
      </c>
      <c r="G338" s="12">
        <f>G336-G337</f>
        <v>1780742.3924960014</v>
      </c>
      <c r="H338" s="12">
        <f>H336-H337</f>
        <v>2136350.9738641586</v>
      </c>
    </row>
    <row r="339" spans="1:8">
      <c r="A339" s="5" t="s">
        <v>657</v>
      </c>
      <c r="C339" s="12">
        <v>0</v>
      </c>
      <c r="D339" s="6">
        <f>MAX(0,D338)*'04_Assumptions'!$C$40</f>
        <v>58088.836199999998</v>
      </c>
      <c r="E339" s="6">
        <f>MAX(0,E338)*'04_Assumptions'!$C$40</f>
        <v>193867.29371999996</v>
      </c>
      <c r="F339" s="6">
        <f>MAX(0,F338)*'04_Assumptions'!$C$40</f>
        <v>342844.87145231984</v>
      </c>
      <c r="G339" s="6">
        <f>MAX(0,G338)*'04_Assumptions'!$C$40</f>
        <v>448212.86019124353</v>
      </c>
      <c r="H339" s="6">
        <f>MAX(0,H338)*'04_Assumptions'!$C$40</f>
        <v>537719.54012160865</v>
      </c>
    </row>
    <row r="340" spans="1:8">
      <c r="A340" s="5" t="s">
        <v>732</v>
      </c>
      <c r="C340" s="12">
        <v>0</v>
      </c>
      <c r="D340" s="12">
        <f>D338-D339</f>
        <v>172697.16380000001</v>
      </c>
      <c r="E340" s="12">
        <f>E338-E339</f>
        <v>576364.3062799999</v>
      </c>
      <c r="F340" s="12">
        <f>F338-F339</f>
        <v>1019272.2181476797</v>
      </c>
      <c r="G340" s="12">
        <f>G338-G339</f>
        <v>1332529.532304758</v>
      </c>
      <c r="H340" s="12">
        <f>H338-H339</f>
        <v>1598631.43374255</v>
      </c>
    </row>
    <row r="341" spans="1:8">
      <c r="A341" s="5" t="s">
        <v>733</v>
      </c>
      <c r="C341" s="12">
        <v>0</v>
      </c>
      <c r="D341" s="6">
        <f>D333*'04_Assumptions'!$C$42/365+D334*'04_Assumptions'!$C$43/365-D334*'04_Assumptions'!$C$44/365</f>
        <v>9981.3698630137005</v>
      </c>
      <c r="E341" s="6">
        <f>E333*'04_Assumptions'!$C$42/365+E334*'04_Assumptions'!$C$43/365-E334*'04_Assumptions'!$C$44/365</f>
        <v>12576.52602739726</v>
      </c>
      <c r="F341" s="6">
        <f>F333*'04_Assumptions'!$C$42/365+F334*'04_Assumptions'!$C$43/365-F334*'04_Assumptions'!$C$44/365</f>
        <v>15406.244383561636</v>
      </c>
      <c r="G341" s="6">
        <f>G333*'04_Assumptions'!$C$42/365+G334*'04_Assumptions'!$C$43/365-G334*'04_Assumptions'!$C$44/365</f>
        <v>17563.118597260283</v>
      </c>
      <c r="H341" s="6">
        <f>H333*'04_Assumptions'!$C$42/365+H334*'04_Assumptions'!$C$43/365-H334*'04_Assumptions'!$C$44/365</f>
        <v>19411.867923287675</v>
      </c>
    </row>
    <row r="342" spans="1:8">
      <c r="A342" s="5" t="s">
        <v>734</v>
      </c>
      <c r="C342" s="12">
        <v>0</v>
      </c>
      <c r="D342" s="12">
        <f>D341-C341</f>
        <v>9981.3698630137005</v>
      </c>
      <c r="E342" s="12">
        <f>E341-D341</f>
        <v>2595.1561643835594</v>
      </c>
      <c r="F342" s="12">
        <f>F341-E341</f>
        <v>2829.718356164376</v>
      </c>
      <c r="G342" s="12">
        <f>G341-F341</f>
        <v>2156.8742136986475</v>
      </c>
      <c r="H342" s="12">
        <f>H341-G341</f>
        <v>1848.7493260273914</v>
      </c>
    </row>
    <row r="343" spans="1:8">
      <c r="A343" s="5" t="s">
        <v>735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6">
        <f>'15_Project_FCF'!H14+'15_Project_FCF'!H15+'15_Project_FCF'!H16</f>
        <v>958342.5</v>
      </c>
    </row>
    <row r="344" spans="1:8">
      <c r="A344" s="16" t="s">
        <v>673</v>
      </c>
      <c r="C344" s="76">
        <f>'15_Project_FCF'!C17</f>
        <v>-2929530</v>
      </c>
      <c r="D344" s="43">
        <f>D340+D337-D342+D343</f>
        <v>496265.7939369863</v>
      </c>
      <c r="E344" s="43">
        <f>E340+E337-E342+E343</f>
        <v>907319.15011561639</v>
      </c>
      <c r="F344" s="43">
        <f>F340+F337-F342+F343</f>
        <v>1349992.4997915153</v>
      </c>
      <c r="G344" s="43">
        <f>G340+G337-G342+G343</f>
        <v>1663922.6580910594</v>
      </c>
      <c r="H344" s="43">
        <f>H340+H337-H342+H343</f>
        <v>2868675.1844165223</v>
      </c>
    </row>
    <row r="345" spans="1:8">
      <c r="A345" s="5" t="s">
        <v>736</v>
      </c>
      <c r="C345" s="12">
        <f>C344</f>
        <v>-2929530</v>
      </c>
      <c r="D345" s="12">
        <f>C345+D344</f>
        <v>-2433264.2060630135</v>
      </c>
      <c r="E345" s="12">
        <f>D345+E344</f>
        <v>-1525945.0559473971</v>
      </c>
      <c r="F345" s="12">
        <f>E345+F344</f>
        <v>-175952.55615588184</v>
      </c>
      <c r="G345" s="12">
        <f>F345+G344</f>
        <v>1487970.1019351776</v>
      </c>
      <c r="H345" s="12">
        <f>G345+H344</f>
        <v>4356645.2863516994</v>
      </c>
    </row>
    <row r="346" spans="1:8">
      <c r="A346" s="5" t="s">
        <v>737</v>
      </c>
      <c r="D346" s="26">
        <f>IF(AND(C345&lt;0,D345&gt;=0),0+(-C345)/D344,0)</f>
        <v>0</v>
      </c>
      <c r="E346" s="26">
        <f>IF(AND(D345&lt;0,E345&gt;=0),1+(-D345)/E344,0)</f>
        <v>0</v>
      </c>
      <c r="F346" s="26">
        <f>IF(AND(E345&lt;0,F345&gt;=0),2+(-E345)/F344,0)</f>
        <v>0</v>
      </c>
      <c r="G346" s="26">
        <f>IF(AND(F345&lt;0,G345&gt;=0),3+(-F345)/G344,0)</f>
        <v>3.1057456338491982</v>
      </c>
      <c r="H346" s="26">
        <f>IF(AND(G345&lt;0,H345&gt;=0),4+(-G345)/H344,0)</f>
        <v>0</v>
      </c>
    </row>
    <row r="347" spans="1:8">
      <c r="A347" s="16" t="s">
        <v>724</v>
      </c>
      <c r="C347" s="76">
        <f>C344+NPV('04_Assumptions'!$C$74,D344:H344)</f>
        <v>1690960.5533787049</v>
      </c>
    </row>
    <row r="348" spans="1:8">
      <c r="A348" s="16" t="s">
        <v>725</v>
      </c>
      <c r="C348" s="77">
        <f>IFERROR(IRR(C344:H344),"n/a")</f>
        <v>0.29441135276851943</v>
      </c>
    </row>
    <row r="349" spans="1:8">
      <c r="A349" s="16" t="s">
        <v>738</v>
      </c>
      <c r="C349" s="78">
        <f>IF(SUM(D346:H346)=0,"&gt; 5 yrs",SUM(D346:H346))</f>
        <v>3.1057456338491982</v>
      </c>
    </row>
    <row r="352" spans="1:8">
      <c r="A352" s="55" t="s">
        <v>772</v>
      </c>
      <c r="B352" s="74"/>
      <c r="C352" s="75" t="s">
        <v>406</v>
      </c>
      <c r="D352" s="75" t="s">
        <v>276</v>
      </c>
      <c r="E352" s="75" t="s">
        <v>495</v>
      </c>
      <c r="F352" s="75" t="s">
        <v>496</v>
      </c>
      <c r="G352" s="75" t="s">
        <v>497</v>
      </c>
      <c r="H352" s="75" t="s">
        <v>465</v>
      </c>
    </row>
    <row r="353" spans="1:8">
      <c r="A353" s="5" t="s">
        <v>608</v>
      </c>
      <c r="C353" s="12">
        <v>0</v>
      </c>
      <c r="D353" s="6">
        <f>'07_Revenue_Model'!D11*(1+0)*(1+0)</f>
        <v>3960000</v>
      </c>
      <c r="E353" s="6">
        <f>'07_Revenue_Model'!E11*(1+0)*(1+0)</f>
        <v>4989600</v>
      </c>
      <c r="F353" s="6">
        <f>'07_Revenue_Model'!F11*(1+0)*(1+0)</f>
        <v>6112260</v>
      </c>
      <c r="G353" s="6">
        <f>'07_Revenue_Model'!G11*(1+0)*(1+0)</f>
        <v>6967976.4000000013</v>
      </c>
      <c r="H353" s="6">
        <f>'07_Revenue_Model'!H11*(1+0)*(1+0)</f>
        <v>7701447.5999999996</v>
      </c>
    </row>
    <row r="354" spans="1:8">
      <c r="A354" s="5" t="s">
        <v>610</v>
      </c>
      <c r="C354" s="12">
        <v>0</v>
      </c>
      <c r="D354" s="6">
        <f>'08_Cost_Model'!D9*(1+0)*(1+0)</f>
        <v>1425600</v>
      </c>
      <c r="E354" s="6">
        <f>'08_Cost_Model'!E9*(1+0)*(1+0)</f>
        <v>1796256</v>
      </c>
      <c r="F354" s="6">
        <f>'08_Cost_Model'!F9*(1+0)*(1+0)</f>
        <v>2200413.6</v>
      </c>
      <c r="G354" s="6">
        <f>'08_Cost_Model'!G9*(1+0)*(1+0)</f>
        <v>2508471.5040000002</v>
      </c>
      <c r="H354" s="6">
        <f>'08_Cost_Model'!H9*(1+0)*(1+0)</f>
        <v>2772521.1359999999</v>
      </c>
    </row>
    <row r="355" spans="1:8">
      <c r="A355" s="5" t="s">
        <v>622</v>
      </c>
      <c r="C355" s="12">
        <v>0</v>
      </c>
      <c r="D355" s="6">
        <f>'08_Cost_Model'!D21*(1+$D$6)</f>
        <v>2216322</v>
      </c>
      <c r="E355" s="6">
        <f>'08_Cost_Model'!E21*(1+$D$6)</f>
        <v>2350757.7000000002</v>
      </c>
      <c r="F355" s="6">
        <f>'08_Cost_Model'!F21*(1+$D$6)</f>
        <v>2493201.7242000005</v>
      </c>
      <c r="G355" s="6">
        <f>'08_Cost_Model'!G21*(1+$D$6)</f>
        <v>2638364.0664420002</v>
      </c>
      <c r="H355" s="6">
        <f>'08_Cost_Model'!H21*(1+$D$6)</f>
        <v>2788903.6764028212</v>
      </c>
    </row>
    <row r="356" spans="1:8">
      <c r="A356" s="16" t="s">
        <v>623</v>
      </c>
      <c r="C356" s="12">
        <v>0</v>
      </c>
      <c r="D356" s="43">
        <f>D353-D354-D355</f>
        <v>318078</v>
      </c>
      <c r="E356" s="43">
        <f>E353-E354-E355</f>
        <v>842586.29999999981</v>
      </c>
      <c r="F356" s="43">
        <f>F353-F354-F355</f>
        <v>1418644.6757999994</v>
      </c>
      <c r="G356" s="43">
        <f>G353-G354-G355</f>
        <v>1821140.8295580014</v>
      </c>
      <c r="H356" s="43">
        <f>H353-H354-H355</f>
        <v>2140022.7875971785</v>
      </c>
    </row>
    <row r="357" spans="1:8">
      <c r="A357" s="5" t="s">
        <v>731</v>
      </c>
      <c r="C357" s="12">
        <v>0</v>
      </c>
      <c r="D357" s="6">
        <f>'09_Assets_Depreciation'!D20</f>
        <v>333550</v>
      </c>
      <c r="E357" s="6">
        <f>'09_Assets_Depreciation'!E20</f>
        <v>333550</v>
      </c>
      <c r="F357" s="6">
        <f>'09_Assets_Depreciation'!F20</f>
        <v>333550</v>
      </c>
      <c r="G357" s="6">
        <f>'09_Assets_Depreciation'!G20</f>
        <v>333550</v>
      </c>
      <c r="H357" s="6">
        <f>'09_Assets_Depreciation'!H20</f>
        <v>313550</v>
      </c>
    </row>
    <row r="358" spans="1:8">
      <c r="A358" s="5" t="s">
        <v>625</v>
      </c>
      <c r="C358" s="12">
        <v>0</v>
      </c>
      <c r="D358" s="12">
        <f>D356-D357</f>
        <v>-15472</v>
      </c>
      <c r="E358" s="12">
        <f>E356-E357</f>
        <v>509036.29999999981</v>
      </c>
      <c r="F358" s="12">
        <f>F356-F357</f>
        <v>1085094.6757999994</v>
      </c>
      <c r="G358" s="12">
        <f>G356-G357</f>
        <v>1487590.8295580014</v>
      </c>
      <c r="H358" s="12">
        <f>H356-H357</f>
        <v>1826472.7875971785</v>
      </c>
    </row>
    <row r="359" spans="1:8">
      <c r="A359" s="5" t="s">
        <v>657</v>
      </c>
      <c r="C359" s="12">
        <v>0</v>
      </c>
      <c r="D359" s="6">
        <f>MAX(0,D358)*'04_Assumptions'!$C$40</f>
        <v>0</v>
      </c>
      <c r="E359" s="6">
        <f>MAX(0,E358)*'04_Assumptions'!$C$40</f>
        <v>128124.43670999994</v>
      </c>
      <c r="F359" s="6">
        <f>MAX(0,F358)*'04_Assumptions'!$C$40</f>
        <v>273118.32989885984</v>
      </c>
      <c r="G359" s="6">
        <f>MAX(0,G358)*'04_Assumptions'!$C$40</f>
        <v>374426.61179974891</v>
      </c>
      <c r="H359" s="6">
        <f>MAX(0,H358)*'04_Assumptions'!$C$40</f>
        <v>459723.20063820976</v>
      </c>
    </row>
    <row r="360" spans="1:8">
      <c r="A360" s="5" t="s">
        <v>732</v>
      </c>
      <c r="C360" s="12">
        <v>0</v>
      </c>
      <c r="D360" s="12">
        <f>D358-D359</f>
        <v>-15472</v>
      </c>
      <c r="E360" s="12">
        <f>E358-E359</f>
        <v>380911.86328999989</v>
      </c>
      <c r="F360" s="12">
        <f>F358-F359</f>
        <v>811976.34590113955</v>
      </c>
      <c r="G360" s="12">
        <f>G358-G359</f>
        <v>1113164.2177582525</v>
      </c>
      <c r="H360" s="12">
        <f>H358-H359</f>
        <v>1366749.5869589688</v>
      </c>
    </row>
    <row r="361" spans="1:8">
      <c r="A361" s="5" t="s">
        <v>733</v>
      </c>
      <c r="C361" s="12">
        <v>0</v>
      </c>
      <c r="D361" s="6">
        <f>D353*'04_Assumptions'!$C$42/365+D354*'04_Assumptions'!$C$43/365-D354*'04_Assumptions'!$C$44/365</f>
        <v>9981.3698630137005</v>
      </c>
      <c r="E361" s="6">
        <f>E353*'04_Assumptions'!$C$42/365+E354*'04_Assumptions'!$C$43/365-E354*'04_Assumptions'!$C$44/365</f>
        <v>12576.52602739726</v>
      </c>
      <c r="F361" s="6">
        <f>F353*'04_Assumptions'!$C$42/365+F354*'04_Assumptions'!$C$43/365-F354*'04_Assumptions'!$C$44/365</f>
        <v>15406.244383561636</v>
      </c>
      <c r="G361" s="6">
        <f>G353*'04_Assumptions'!$C$42/365+G354*'04_Assumptions'!$C$43/365-G354*'04_Assumptions'!$C$44/365</f>
        <v>17563.118597260283</v>
      </c>
      <c r="H361" s="6">
        <f>H353*'04_Assumptions'!$C$42/365+H354*'04_Assumptions'!$C$43/365-H354*'04_Assumptions'!$C$44/365</f>
        <v>19411.867923287675</v>
      </c>
    </row>
    <row r="362" spans="1:8">
      <c r="A362" s="5" t="s">
        <v>734</v>
      </c>
      <c r="C362" s="12">
        <v>0</v>
      </c>
      <c r="D362" s="12">
        <f>D361-C361</f>
        <v>9981.3698630137005</v>
      </c>
      <c r="E362" s="12">
        <f>E361-D361</f>
        <v>2595.1561643835594</v>
      </c>
      <c r="F362" s="12">
        <f>F361-E361</f>
        <v>2829.718356164376</v>
      </c>
      <c r="G362" s="12">
        <f>G361-F361</f>
        <v>2156.8742136986475</v>
      </c>
      <c r="H362" s="12">
        <f>H361-G361</f>
        <v>1848.7493260273914</v>
      </c>
    </row>
    <row r="363" spans="1:8">
      <c r="A363" s="5" t="s">
        <v>735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6">
        <f>'15_Project_FCF'!H14+'15_Project_FCF'!H15+'15_Project_FCF'!H16</f>
        <v>958342.5</v>
      </c>
    </row>
    <row r="364" spans="1:8">
      <c r="A364" s="16" t="s">
        <v>673</v>
      </c>
      <c r="C364" s="76">
        <f>'15_Project_FCF'!C17</f>
        <v>-2929530</v>
      </c>
      <c r="D364" s="43">
        <f>D360+D357-D362+D363</f>
        <v>308096.63013698632</v>
      </c>
      <c r="E364" s="43">
        <f>E360+E357-E362+E363</f>
        <v>711866.70712561638</v>
      </c>
      <c r="F364" s="43">
        <f>F360+F357-F362+F363</f>
        <v>1142696.6275449751</v>
      </c>
      <c r="G364" s="43">
        <f>G360+G357-G362+G363</f>
        <v>1444557.343544554</v>
      </c>
      <c r="H364" s="43">
        <f>H360+H357-H362+H363</f>
        <v>2636793.3376329411</v>
      </c>
    </row>
    <row r="365" spans="1:8">
      <c r="A365" s="5" t="s">
        <v>736</v>
      </c>
      <c r="C365" s="12">
        <f>C364</f>
        <v>-2929530</v>
      </c>
      <c r="D365" s="12">
        <f>C365+D364</f>
        <v>-2621433.3698630137</v>
      </c>
      <c r="E365" s="12">
        <f>D365+E364</f>
        <v>-1909566.6627373975</v>
      </c>
      <c r="F365" s="12">
        <f>E365+F364</f>
        <v>-766870.03519242234</v>
      </c>
      <c r="G365" s="12">
        <f>F365+G364</f>
        <v>677687.30835213163</v>
      </c>
      <c r="H365" s="12">
        <f>G365+H364</f>
        <v>3314480.6459850725</v>
      </c>
    </row>
    <row r="366" spans="1:8">
      <c r="A366" s="5" t="s">
        <v>737</v>
      </c>
      <c r="D366" s="26">
        <f>IF(AND(C365&lt;0,D365&gt;=0),0+(-C365)/D364,0)</f>
        <v>0</v>
      </c>
      <c r="E366" s="26">
        <f>IF(AND(D365&lt;0,E365&gt;=0),1+(-D365)/E364,0)</f>
        <v>0</v>
      </c>
      <c r="F366" s="26">
        <f>IF(AND(E365&lt;0,F365&gt;=0),2+(-E365)/F364,0)</f>
        <v>0</v>
      </c>
      <c r="G366" s="26">
        <f>IF(AND(F365&lt;0,G365&gt;=0),3+(-F365)/G364,0)</f>
        <v>3.5308685311935974</v>
      </c>
      <c r="H366" s="26">
        <f>IF(AND(G365&lt;0,H365&gt;=0),4+(-G365)/H364,0)</f>
        <v>0</v>
      </c>
    </row>
    <row r="367" spans="1:8">
      <c r="A367" s="16" t="s">
        <v>724</v>
      </c>
      <c r="C367" s="76">
        <f>C364+NPV('04_Assumptions'!$C$74,D364:H364)</f>
        <v>972619.21730161831</v>
      </c>
    </row>
    <row r="368" spans="1:8">
      <c r="A368" s="16" t="s">
        <v>725</v>
      </c>
      <c r="C368" s="77">
        <f>IFERROR(IRR(C364:H364),"n/a")</f>
        <v>0.2268103723896015</v>
      </c>
    </row>
    <row r="369" spans="1:8">
      <c r="A369" s="16" t="s">
        <v>738</v>
      </c>
      <c r="C369" s="78">
        <f>IF(SUM(D366:H366)=0,"&gt; 5 yrs",SUM(D366:H366))</f>
        <v>3.5308685311935974</v>
      </c>
    </row>
    <row r="372" spans="1:8">
      <c r="A372" s="55" t="s">
        <v>773</v>
      </c>
      <c r="B372" s="74"/>
      <c r="C372" s="75" t="s">
        <v>406</v>
      </c>
      <c r="D372" s="75" t="s">
        <v>276</v>
      </c>
      <c r="E372" s="75" t="s">
        <v>495</v>
      </c>
      <c r="F372" s="75" t="s">
        <v>496</v>
      </c>
      <c r="G372" s="75" t="s">
        <v>497</v>
      </c>
      <c r="H372" s="75" t="s">
        <v>465</v>
      </c>
    </row>
    <row r="373" spans="1:8">
      <c r="A373" s="5" t="s">
        <v>608</v>
      </c>
      <c r="C373" s="12">
        <v>0</v>
      </c>
      <c r="D373" s="6">
        <f>'07_Revenue_Model'!D11*(1+0)*(1+0)</f>
        <v>3960000</v>
      </c>
      <c r="E373" s="6">
        <f>'07_Revenue_Model'!E11*(1+0)*(1+0)</f>
        <v>4989600</v>
      </c>
      <c r="F373" s="6">
        <f>'07_Revenue_Model'!F11*(1+0)*(1+0)</f>
        <v>6112260</v>
      </c>
      <c r="G373" s="6">
        <f>'07_Revenue_Model'!G11*(1+0)*(1+0)</f>
        <v>6967976.4000000013</v>
      </c>
      <c r="H373" s="6">
        <f>'07_Revenue_Model'!H11*(1+0)*(1+0)</f>
        <v>7701447.5999999996</v>
      </c>
    </row>
    <row r="374" spans="1:8">
      <c r="A374" s="5" t="s">
        <v>610</v>
      </c>
      <c r="C374" s="12">
        <v>0</v>
      </c>
      <c r="D374" s="6">
        <f>'08_Cost_Model'!D9*(1+0)*(1+0)</f>
        <v>1425600</v>
      </c>
      <c r="E374" s="6">
        <f>'08_Cost_Model'!E9*(1+0)*(1+0)</f>
        <v>1796256</v>
      </c>
      <c r="F374" s="6">
        <f>'08_Cost_Model'!F9*(1+0)*(1+0)</f>
        <v>2200413.6</v>
      </c>
      <c r="G374" s="6">
        <f>'08_Cost_Model'!G9*(1+0)*(1+0)</f>
        <v>2508471.5040000002</v>
      </c>
      <c r="H374" s="6">
        <f>'08_Cost_Model'!H9*(1+0)*(1+0)</f>
        <v>2772521.1359999999</v>
      </c>
    </row>
    <row r="375" spans="1:8">
      <c r="A375" s="5" t="s">
        <v>622</v>
      </c>
      <c r="C375" s="12">
        <v>0</v>
      </c>
      <c r="D375" s="6">
        <f>'08_Cost_Model'!D21*(1+$E$6)</f>
        <v>2462580</v>
      </c>
      <c r="E375" s="6">
        <f>'08_Cost_Model'!E21*(1+$E$6)</f>
        <v>2611953</v>
      </c>
      <c r="F375" s="6">
        <f>'08_Cost_Model'!F21*(1+$E$6)</f>
        <v>2770224.1380000003</v>
      </c>
      <c r="G375" s="6">
        <f>'08_Cost_Model'!G21*(1+$E$6)</f>
        <v>2931515.6293800003</v>
      </c>
      <c r="H375" s="6">
        <f>'08_Cost_Model'!H21*(1+$E$6)</f>
        <v>3098781.8626698013</v>
      </c>
    </row>
    <row r="376" spans="1:8">
      <c r="A376" s="16" t="s">
        <v>623</v>
      </c>
      <c r="C376" s="12">
        <v>0</v>
      </c>
      <c r="D376" s="43">
        <f>D373-D374-D375</f>
        <v>71820</v>
      </c>
      <c r="E376" s="43">
        <f>E373-E374-E375</f>
        <v>581391</v>
      </c>
      <c r="F376" s="43">
        <f>F373-F374-F375</f>
        <v>1141622.2619999996</v>
      </c>
      <c r="G376" s="43">
        <f>G373-G374-G375</f>
        <v>1527989.2666200013</v>
      </c>
      <c r="H376" s="43">
        <f>H373-H374-H375</f>
        <v>1830144.6013301983</v>
      </c>
    </row>
    <row r="377" spans="1:8">
      <c r="A377" s="5" t="s">
        <v>731</v>
      </c>
      <c r="C377" s="12">
        <v>0</v>
      </c>
      <c r="D377" s="6">
        <f>'09_Assets_Depreciation'!D20</f>
        <v>333550</v>
      </c>
      <c r="E377" s="6">
        <f>'09_Assets_Depreciation'!E20</f>
        <v>333550</v>
      </c>
      <c r="F377" s="6">
        <f>'09_Assets_Depreciation'!F20</f>
        <v>333550</v>
      </c>
      <c r="G377" s="6">
        <f>'09_Assets_Depreciation'!G20</f>
        <v>333550</v>
      </c>
      <c r="H377" s="6">
        <f>'09_Assets_Depreciation'!H20</f>
        <v>313550</v>
      </c>
    </row>
    <row r="378" spans="1:8">
      <c r="A378" s="5" t="s">
        <v>625</v>
      </c>
      <c r="C378" s="12">
        <v>0</v>
      </c>
      <c r="D378" s="12">
        <f>D376-D377</f>
        <v>-261730</v>
      </c>
      <c r="E378" s="12">
        <f>E376-E377</f>
        <v>247841</v>
      </c>
      <c r="F378" s="12">
        <f>F376-F377</f>
        <v>808072.26199999964</v>
      </c>
      <c r="G378" s="12">
        <f>G376-G377</f>
        <v>1194439.2666200013</v>
      </c>
      <c r="H378" s="12">
        <f>H376-H377</f>
        <v>1516594.6013301983</v>
      </c>
    </row>
    <row r="379" spans="1:8">
      <c r="A379" s="5" t="s">
        <v>657</v>
      </c>
      <c r="C379" s="12">
        <v>0</v>
      </c>
      <c r="D379" s="6">
        <f>MAX(0,D378)*'04_Assumptions'!$C$40</f>
        <v>0</v>
      </c>
      <c r="E379" s="6">
        <f>MAX(0,E378)*'04_Assumptions'!$C$40</f>
        <v>62381.579699999995</v>
      </c>
      <c r="F379" s="6">
        <f>MAX(0,F378)*'04_Assumptions'!$C$40</f>
        <v>203391.78834539989</v>
      </c>
      <c r="G379" s="6">
        <f>MAX(0,G378)*'04_Assumptions'!$C$40</f>
        <v>300640.36340825428</v>
      </c>
      <c r="H379" s="6">
        <f>MAX(0,H378)*'04_Assumptions'!$C$40</f>
        <v>381726.86115481087</v>
      </c>
    </row>
    <row r="380" spans="1:8">
      <c r="A380" s="5" t="s">
        <v>732</v>
      </c>
      <c r="C380" s="12">
        <v>0</v>
      </c>
      <c r="D380" s="12">
        <f>D378-D379</f>
        <v>-261730</v>
      </c>
      <c r="E380" s="12">
        <f>E378-E379</f>
        <v>185459.4203</v>
      </c>
      <c r="F380" s="12">
        <f>F378-F379</f>
        <v>604680.47365459974</v>
      </c>
      <c r="G380" s="12">
        <f>G378-G379</f>
        <v>893798.90321174706</v>
      </c>
      <c r="H380" s="12">
        <f>H378-H379</f>
        <v>1134867.7401753874</v>
      </c>
    </row>
    <row r="381" spans="1:8">
      <c r="A381" s="5" t="s">
        <v>733</v>
      </c>
      <c r="C381" s="12">
        <v>0</v>
      </c>
      <c r="D381" s="6">
        <f>D373*'04_Assumptions'!$C$42/365+D374*'04_Assumptions'!$C$43/365-D374*'04_Assumptions'!$C$44/365</f>
        <v>9981.3698630137005</v>
      </c>
      <c r="E381" s="6">
        <f>E373*'04_Assumptions'!$C$42/365+E374*'04_Assumptions'!$C$43/365-E374*'04_Assumptions'!$C$44/365</f>
        <v>12576.52602739726</v>
      </c>
      <c r="F381" s="6">
        <f>F373*'04_Assumptions'!$C$42/365+F374*'04_Assumptions'!$C$43/365-F374*'04_Assumptions'!$C$44/365</f>
        <v>15406.244383561636</v>
      </c>
      <c r="G381" s="6">
        <f>G373*'04_Assumptions'!$C$42/365+G374*'04_Assumptions'!$C$43/365-G374*'04_Assumptions'!$C$44/365</f>
        <v>17563.118597260283</v>
      </c>
      <c r="H381" s="6">
        <f>H373*'04_Assumptions'!$C$42/365+H374*'04_Assumptions'!$C$43/365-H374*'04_Assumptions'!$C$44/365</f>
        <v>19411.867923287675</v>
      </c>
    </row>
    <row r="382" spans="1:8">
      <c r="A382" s="5" t="s">
        <v>734</v>
      </c>
      <c r="C382" s="12">
        <v>0</v>
      </c>
      <c r="D382" s="12">
        <f>D381-C381</f>
        <v>9981.3698630137005</v>
      </c>
      <c r="E382" s="12">
        <f>E381-D381</f>
        <v>2595.1561643835594</v>
      </c>
      <c r="F382" s="12">
        <f>F381-E381</f>
        <v>2829.718356164376</v>
      </c>
      <c r="G382" s="12">
        <f>G381-F381</f>
        <v>2156.8742136986475</v>
      </c>
      <c r="H382" s="12">
        <f>H381-G381</f>
        <v>1848.7493260273914</v>
      </c>
    </row>
    <row r="383" spans="1:8">
      <c r="A383" s="5" t="s">
        <v>735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  <c r="H383" s="6">
        <f>'15_Project_FCF'!H14+'15_Project_FCF'!H15+'15_Project_FCF'!H16</f>
        <v>958342.5</v>
      </c>
    </row>
    <row r="384" spans="1:8">
      <c r="A384" s="16" t="s">
        <v>673</v>
      </c>
      <c r="C384" s="76">
        <f>'15_Project_FCF'!C17</f>
        <v>-2929530</v>
      </c>
      <c r="D384" s="43">
        <f>D380+D377-D382+D383</f>
        <v>61838.630136986299</v>
      </c>
      <c r="E384" s="43">
        <f>E380+E377-E382+E383</f>
        <v>516414.26413561642</v>
      </c>
      <c r="F384" s="43">
        <f>F380+F377-F382+F383</f>
        <v>935400.75529843534</v>
      </c>
      <c r="G384" s="43">
        <f>G380+G377-G382+G383</f>
        <v>1225192.0289980485</v>
      </c>
      <c r="H384" s="43">
        <f>H380+H377-H382+H383</f>
        <v>2404911.4908493599</v>
      </c>
    </row>
    <row r="385" spans="1:8">
      <c r="A385" s="5" t="s">
        <v>736</v>
      </c>
      <c r="C385" s="12">
        <f>C384</f>
        <v>-2929530</v>
      </c>
      <c r="D385" s="12">
        <f>C385+D384</f>
        <v>-2867691.3698630137</v>
      </c>
      <c r="E385" s="12">
        <f>D385+E384</f>
        <v>-2351277.1057273974</v>
      </c>
      <c r="F385" s="12">
        <f>E385+F384</f>
        <v>-1415876.3504289621</v>
      </c>
      <c r="G385" s="12">
        <f>F385+G384</f>
        <v>-190684.32143091364</v>
      </c>
      <c r="H385" s="12">
        <f>G385+H384</f>
        <v>2214227.1694184463</v>
      </c>
    </row>
    <row r="386" spans="1:8">
      <c r="A386" s="5" t="s">
        <v>737</v>
      </c>
      <c r="D386" s="26">
        <f>IF(AND(C385&lt;0,D385&gt;=0),0+(-C385)/D384,0)</f>
        <v>0</v>
      </c>
      <c r="E386" s="26">
        <f>IF(AND(D385&lt;0,E385&gt;=0),1+(-D385)/E384,0)</f>
        <v>0</v>
      </c>
      <c r="F386" s="26">
        <f>IF(AND(E385&lt;0,F385&gt;=0),2+(-E385)/F384,0)</f>
        <v>0</v>
      </c>
      <c r="G386" s="26">
        <f>IF(AND(F385&lt;0,G385&gt;=0),3+(-F385)/G384,0)</f>
        <v>0</v>
      </c>
      <c r="H386" s="26">
        <f>IF(AND(G385&lt;0,H385&gt;=0),4+(-G385)/H384,0)</f>
        <v>4.0792895381624081</v>
      </c>
    </row>
    <row r="387" spans="1:8">
      <c r="A387" s="16" t="s">
        <v>724</v>
      </c>
      <c r="C387" s="76">
        <f>C384+NPV('04_Assumptions'!$C$74,D384:H384)</f>
        <v>203004.09969634889</v>
      </c>
    </row>
    <row r="388" spans="1:8">
      <c r="A388" s="16" t="s">
        <v>725</v>
      </c>
      <c r="C388" s="77">
        <f>IFERROR(IRR(C384:H384),"n/a")</f>
        <v>0.15261854563751551</v>
      </c>
    </row>
    <row r="389" spans="1:8">
      <c r="A389" s="16" t="s">
        <v>738</v>
      </c>
      <c r="C389" s="78">
        <f>IF(SUM(D386:H386)=0,"&gt; 5 yrs",SUM(D386:H386))</f>
        <v>4.0792895381624081</v>
      </c>
    </row>
    <row r="392" spans="1:8">
      <c r="A392" s="55" t="s">
        <v>774</v>
      </c>
      <c r="B392" s="74"/>
      <c r="C392" s="75" t="s">
        <v>406</v>
      </c>
      <c r="D392" s="75" t="s">
        <v>276</v>
      </c>
      <c r="E392" s="75" t="s">
        <v>495</v>
      </c>
      <c r="F392" s="75" t="s">
        <v>496</v>
      </c>
      <c r="G392" s="75" t="s">
        <v>497</v>
      </c>
      <c r="H392" s="75" t="s">
        <v>465</v>
      </c>
    </row>
    <row r="393" spans="1:8">
      <c r="A393" s="5" t="s">
        <v>608</v>
      </c>
      <c r="C393" s="12">
        <v>0</v>
      </c>
      <c r="D393" s="6">
        <f>'07_Revenue_Model'!D11*(1+0)*(1+0)</f>
        <v>3960000</v>
      </c>
      <c r="E393" s="6">
        <f>'07_Revenue_Model'!E11*(1+0)*(1+0)</f>
        <v>4989600</v>
      </c>
      <c r="F393" s="6">
        <f>'07_Revenue_Model'!F11*(1+0)*(1+0)</f>
        <v>6112260</v>
      </c>
      <c r="G393" s="6">
        <f>'07_Revenue_Model'!G11*(1+0)*(1+0)</f>
        <v>6967976.4000000013</v>
      </c>
      <c r="H393" s="6">
        <f>'07_Revenue_Model'!H11*(1+0)*(1+0)</f>
        <v>7701447.5999999996</v>
      </c>
    </row>
    <row r="394" spans="1:8">
      <c r="A394" s="5" t="s">
        <v>610</v>
      </c>
      <c r="C394" s="12">
        <v>0</v>
      </c>
      <c r="D394" s="6">
        <f>'08_Cost_Model'!D9*(1+0)*(1+0)</f>
        <v>1425600</v>
      </c>
      <c r="E394" s="6">
        <f>'08_Cost_Model'!E9*(1+0)*(1+0)</f>
        <v>1796256</v>
      </c>
      <c r="F394" s="6">
        <f>'08_Cost_Model'!F9*(1+0)*(1+0)</f>
        <v>2200413.6</v>
      </c>
      <c r="G394" s="6">
        <f>'08_Cost_Model'!G9*(1+0)*(1+0)</f>
        <v>2508471.5040000002</v>
      </c>
      <c r="H394" s="6">
        <f>'08_Cost_Model'!H9*(1+0)*(1+0)</f>
        <v>2772521.1359999999</v>
      </c>
    </row>
    <row r="395" spans="1:8">
      <c r="A395" s="5" t="s">
        <v>622</v>
      </c>
      <c r="C395" s="12">
        <v>0</v>
      </c>
      <c r="D395" s="6">
        <f>'08_Cost_Model'!D21*(1+$F$6)</f>
        <v>2708838</v>
      </c>
      <c r="E395" s="6">
        <f>'08_Cost_Model'!E21*(1+$F$6)</f>
        <v>2873148.3000000003</v>
      </c>
      <c r="F395" s="6">
        <f>'08_Cost_Model'!F21*(1+$F$6)</f>
        <v>3047246.5518000005</v>
      </c>
      <c r="G395" s="6">
        <f>'08_Cost_Model'!G21*(1+$F$6)</f>
        <v>3224667.1923180004</v>
      </c>
      <c r="H395" s="6">
        <f>'08_Cost_Model'!H21*(1+$F$6)</f>
        <v>3408660.0489367819</v>
      </c>
    </row>
    <row r="396" spans="1:8">
      <c r="A396" s="16" t="s">
        <v>623</v>
      </c>
      <c r="C396" s="12">
        <v>0</v>
      </c>
      <c r="D396" s="43">
        <f>D393-D394-D395</f>
        <v>-174438</v>
      </c>
      <c r="E396" s="43">
        <f>E393-E394-E395</f>
        <v>320195.69999999972</v>
      </c>
      <c r="F396" s="43">
        <f>F393-F394-F395</f>
        <v>864599.84819999943</v>
      </c>
      <c r="G396" s="43">
        <f>G393-G394-G395</f>
        <v>1234837.7036820012</v>
      </c>
      <c r="H396" s="43">
        <f>H393-H394-H395</f>
        <v>1520266.4150632177</v>
      </c>
    </row>
    <row r="397" spans="1:8">
      <c r="A397" s="5" t="s">
        <v>731</v>
      </c>
      <c r="C397" s="12">
        <v>0</v>
      </c>
      <c r="D397" s="6">
        <f>'09_Assets_Depreciation'!D20</f>
        <v>333550</v>
      </c>
      <c r="E397" s="6">
        <f>'09_Assets_Depreciation'!E20</f>
        <v>333550</v>
      </c>
      <c r="F397" s="6">
        <f>'09_Assets_Depreciation'!F20</f>
        <v>333550</v>
      </c>
      <c r="G397" s="6">
        <f>'09_Assets_Depreciation'!G20</f>
        <v>333550</v>
      </c>
      <c r="H397" s="6">
        <f>'09_Assets_Depreciation'!H20</f>
        <v>313550</v>
      </c>
    </row>
    <row r="398" spans="1:8">
      <c r="A398" s="5" t="s">
        <v>625</v>
      </c>
      <c r="C398" s="12">
        <v>0</v>
      </c>
      <c r="D398" s="12">
        <f>D396-D397</f>
        <v>-507988</v>
      </c>
      <c r="E398" s="12">
        <f>E396-E397</f>
        <v>-13354.300000000279</v>
      </c>
      <c r="F398" s="12">
        <f>F396-F397</f>
        <v>531049.84819999943</v>
      </c>
      <c r="G398" s="12">
        <f>G396-G397</f>
        <v>901287.70368200121</v>
      </c>
      <c r="H398" s="12">
        <f>H396-H397</f>
        <v>1206716.4150632177</v>
      </c>
    </row>
    <row r="399" spans="1:8">
      <c r="A399" s="5" t="s">
        <v>657</v>
      </c>
      <c r="C399" s="12">
        <v>0</v>
      </c>
      <c r="D399" s="6">
        <f>MAX(0,D398)*'04_Assumptions'!$C$40</f>
        <v>0</v>
      </c>
      <c r="E399" s="6">
        <f>MAX(0,E398)*'04_Assumptions'!$C$40</f>
        <v>0</v>
      </c>
      <c r="F399" s="6">
        <f>MAX(0,F398)*'04_Assumptions'!$C$40</f>
        <v>133665.24679193983</v>
      </c>
      <c r="G399" s="6">
        <f>MAX(0,G398)*'04_Assumptions'!$C$40</f>
        <v>226854.11501675969</v>
      </c>
      <c r="H399" s="6">
        <f>MAX(0,H398)*'04_Assumptions'!$C$40</f>
        <v>303730.52167141187</v>
      </c>
    </row>
    <row r="400" spans="1:8">
      <c r="A400" s="5" t="s">
        <v>732</v>
      </c>
      <c r="C400" s="12">
        <v>0</v>
      </c>
      <c r="D400" s="12">
        <f>D398-D399</f>
        <v>-507988</v>
      </c>
      <c r="E400" s="12">
        <f>E398-E399</f>
        <v>-13354.300000000279</v>
      </c>
      <c r="F400" s="12">
        <f>F398-F399</f>
        <v>397384.60140805959</v>
      </c>
      <c r="G400" s="12">
        <f>G398-G399</f>
        <v>674433.58866524149</v>
      </c>
      <c r="H400" s="12">
        <f>H398-H399</f>
        <v>902985.89339180593</v>
      </c>
    </row>
    <row r="401" spans="1:8">
      <c r="A401" s="5" t="s">
        <v>733</v>
      </c>
      <c r="C401" s="12">
        <v>0</v>
      </c>
      <c r="D401" s="6">
        <f>D393*'04_Assumptions'!$C$42/365+D394*'04_Assumptions'!$C$43/365-D394*'04_Assumptions'!$C$44/365</f>
        <v>9981.3698630137005</v>
      </c>
      <c r="E401" s="6">
        <f>E393*'04_Assumptions'!$C$42/365+E394*'04_Assumptions'!$C$43/365-E394*'04_Assumptions'!$C$44/365</f>
        <v>12576.52602739726</v>
      </c>
      <c r="F401" s="6">
        <f>F393*'04_Assumptions'!$C$42/365+F394*'04_Assumptions'!$C$43/365-F394*'04_Assumptions'!$C$44/365</f>
        <v>15406.244383561636</v>
      </c>
      <c r="G401" s="6">
        <f>G393*'04_Assumptions'!$C$42/365+G394*'04_Assumptions'!$C$43/365-G394*'04_Assumptions'!$C$44/365</f>
        <v>17563.118597260283</v>
      </c>
      <c r="H401" s="6">
        <f>H393*'04_Assumptions'!$C$42/365+H394*'04_Assumptions'!$C$43/365-H394*'04_Assumptions'!$C$44/365</f>
        <v>19411.867923287675</v>
      </c>
    </row>
    <row r="402" spans="1:8">
      <c r="A402" s="5" t="s">
        <v>734</v>
      </c>
      <c r="C402" s="12">
        <v>0</v>
      </c>
      <c r="D402" s="12">
        <f>D401-C401</f>
        <v>9981.3698630137005</v>
      </c>
      <c r="E402" s="12">
        <f>E401-D401</f>
        <v>2595.1561643835594</v>
      </c>
      <c r="F402" s="12">
        <f>F401-E401</f>
        <v>2829.718356164376</v>
      </c>
      <c r="G402" s="12">
        <f>G401-F401</f>
        <v>2156.8742136986475</v>
      </c>
      <c r="H402" s="12">
        <f>H401-G401</f>
        <v>1848.7493260273914</v>
      </c>
    </row>
    <row r="403" spans="1:8">
      <c r="A403" s="5" t="s">
        <v>735</v>
      </c>
      <c r="C403" s="12">
        <v>0</v>
      </c>
      <c r="D403" s="12">
        <v>0</v>
      </c>
      <c r="E403" s="12">
        <v>0</v>
      </c>
      <c r="F403" s="12">
        <v>0</v>
      </c>
      <c r="G403" s="12">
        <v>0</v>
      </c>
      <c r="H403" s="6">
        <f>'15_Project_FCF'!H14+'15_Project_FCF'!H15+'15_Project_FCF'!H16</f>
        <v>958342.5</v>
      </c>
    </row>
    <row r="404" spans="1:8">
      <c r="A404" s="16" t="s">
        <v>673</v>
      </c>
      <c r="C404" s="76">
        <f>'15_Project_FCF'!C17</f>
        <v>-2929530</v>
      </c>
      <c r="D404" s="43">
        <f>D400+D397-D402+D403</f>
        <v>-184419.36986301371</v>
      </c>
      <c r="E404" s="43">
        <f>E400+E397-E402+E403</f>
        <v>317600.54383561615</v>
      </c>
      <c r="F404" s="43">
        <f>F400+F397-F402+F403</f>
        <v>728104.88305189519</v>
      </c>
      <c r="G404" s="43">
        <f>G400+G397-G402+G403</f>
        <v>1005826.7144515428</v>
      </c>
      <c r="H404" s="43">
        <f>H400+H397-H402+H403</f>
        <v>2173029.6440657787</v>
      </c>
    </row>
    <row r="405" spans="1:8">
      <c r="A405" s="5" t="s">
        <v>736</v>
      </c>
      <c r="C405" s="12">
        <f>C404</f>
        <v>-2929530</v>
      </c>
      <c r="D405" s="12">
        <f>C405+D404</f>
        <v>-3113949.3698630137</v>
      </c>
      <c r="E405" s="12">
        <f>D405+E404</f>
        <v>-2796348.8260273975</v>
      </c>
      <c r="F405" s="12">
        <f>E405+F404</f>
        <v>-2068243.9429755025</v>
      </c>
      <c r="G405" s="12">
        <f>F405+G404</f>
        <v>-1062417.2285239596</v>
      </c>
      <c r="H405" s="12">
        <f>G405+H404</f>
        <v>1110612.4155418191</v>
      </c>
    </row>
    <row r="406" spans="1:8">
      <c r="A406" s="5" t="s">
        <v>737</v>
      </c>
      <c r="D406" s="26">
        <f>IF(AND(C405&lt;0,D405&gt;=0),0+(-C405)/D404,0)</f>
        <v>0</v>
      </c>
      <c r="E406" s="26">
        <f>IF(AND(D405&lt;0,E405&gt;=0),1+(-D405)/E404,0)</f>
        <v>0</v>
      </c>
      <c r="F406" s="26">
        <f>IF(AND(E405&lt;0,F405&gt;=0),2+(-E405)/F404,0)</f>
        <v>0</v>
      </c>
      <c r="G406" s="26">
        <f>IF(AND(F405&lt;0,G405&gt;=0),3+(-F405)/G404,0)</f>
        <v>0</v>
      </c>
      <c r="H406" s="26">
        <f>IF(AND(G405&lt;0,H405&gt;=0),4+(-G405)/H404,0)</f>
        <v>4.4889106006562143</v>
      </c>
    </row>
    <row r="407" spans="1:8">
      <c r="A407" s="16" t="s">
        <v>724</v>
      </c>
      <c r="C407" s="76">
        <f>C404+NPV('04_Assumptions'!$C$74,D404:H404)</f>
        <v>-569229.86227596924</v>
      </c>
    </row>
    <row r="408" spans="1:8">
      <c r="A408" s="16" t="s">
        <v>725</v>
      </c>
      <c r="C408" s="77">
        <f>IFERROR(IRR(C404:H404),"n/a")</f>
        <v>7.7265524005181524E-2</v>
      </c>
    </row>
    <row r="409" spans="1:8">
      <c r="A409" s="16" t="s">
        <v>738</v>
      </c>
      <c r="C409" s="78">
        <f>IF(SUM(D406:H406)=0,"&gt; 5 yrs",SUM(D406:H406))</f>
        <v>4.4889106006562143</v>
      </c>
    </row>
    <row r="412" spans="1:8">
      <c r="A412" s="55" t="s">
        <v>775</v>
      </c>
      <c r="B412" s="74"/>
      <c r="C412" s="75" t="s">
        <v>406</v>
      </c>
      <c r="D412" s="75" t="s">
        <v>276</v>
      </c>
      <c r="E412" s="75" t="s">
        <v>495</v>
      </c>
      <c r="F412" s="75" t="s">
        <v>496</v>
      </c>
      <c r="G412" s="75" t="s">
        <v>497</v>
      </c>
      <c r="H412" s="75" t="s">
        <v>465</v>
      </c>
    </row>
    <row r="413" spans="1:8">
      <c r="A413" s="5" t="s">
        <v>608</v>
      </c>
      <c r="C413" s="12">
        <v>0</v>
      </c>
      <c r="D413" s="6">
        <f>'07_Revenue_Model'!D11*(1+0)*(1+0)</f>
        <v>3960000</v>
      </c>
      <c r="E413" s="6">
        <f>'07_Revenue_Model'!E11*(1+0)*(1+0)</f>
        <v>4989600</v>
      </c>
      <c r="F413" s="6">
        <f>'07_Revenue_Model'!F11*(1+0)*(1+0)</f>
        <v>6112260</v>
      </c>
      <c r="G413" s="6">
        <f>'07_Revenue_Model'!G11*(1+0)*(1+0)</f>
        <v>6967976.4000000013</v>
      </c>
      <c r="H413" s="6">
        <f>'07_Revenue_Model'!H11*(1+0)*(1+0)</f>
        <v>7701447.5999999996</v>
      </c>
    </row>
    <row r="414" spans="1:8">
      <c r="A414" s="5" t="s">
        <v>610</v>
      </c>
      <c r="C414" s="12">
        <v>0</v>
      </c>
      <c r="D414" s="6">
        <f>'08_Cost_Model'!D9*(1+0)*(1+0)</f>
        <v>1425600</v>
      </c>
      <c r="E414" s="6">
        <f>'08_Cost_Model'!E9*(1+0)*(1+0)</f>
        <v>1796256</v>
      </c>
      <c r="F414" s="6">
        <f>'08_Cost_Model'!F9*(1+0)*(1+0)</f>
        <v>2200413.6</v>
      </c>
      <c r="G414" s="6">
        <f>'08_Cost_Model'!G9*(1+0)*(1+0)</f>
        <v>2508471.5040000002</v>
      </c>
      <c r="H414" s="6">
        <f>'08_Cost_Model'!H9*(1+0)*(1+0)</f>
        <v>2772521.1359999999</v>
      </c>
    </row>
    <row r="415" spans="1:8">
      <c r="A415" s="5" t="s">
        <v>622</v>
      </c>
      <c r="C415" s="12">
        <v>0</v>
      </c>
      <c r="D415" s="6">
        <f>'08_Cost_Model'!D21*(1+$G$6)</f>
        <v>2955096</v>
      </c>
      <c r="E415" s="6">
        <f>'08_Cost_Model'!E21*(1+$G$6)</f>
        <v>3134343.6</v>
      </c>
      <c r="F415" s="6">
        <f>'08_Cost_Model'!F21*(1+$G$6)</f>
        <v>3324268.9656000002</v>
      </c>
      <c r="G415" s="6">
        <f>'08_Cost_Model'!G21*(1+$G$6)</f>
        <v>3517818.7552560004</v>
      </c>
      <c r="H415" s="6">
        <f>'08_Cost_Model'!H21*(1+$G$6)</f>
        <v>3718538.2352037616</v>
      </c>
    </row>
    <row r="416" spans="1:8">
      <c r="A416" s="16" t="s">
        <v>623</v>
      </c>
      <c r="C416" s="12">
        <v>0</v>
      </c>
      <c r="D416" s="43">
        <f>D413-D414-D415</f>
        <v>-420696</v>
      </c>
      <c r="E416" s="43">
        <f>E413-E414-E415</f>
        <v>59000.399999999907</v>
      </c>
      <c r="F416" s="43">
        <f>F413-F414-F415</f>
        <v>587577.43439999968</v>
      </c>
      <c r="G416" s="43">
        <f>G413-G414-G415</f>
        <v>941686.14074400114</v>
      </c>
      <c r="H416" s="43">
        <f>H413-H414-H415</f>
        <v>1210388.2287962381</v>
      </c>
    </row>
    <row r="417" spans="1:8">
      <c r="A417" s="5" t="s">
        <v>731</v>
      </c>
      <c r="C417" s="12">
        <v>0</v>
      </c>
      <c r="D417" s="6">
        <f>'09_Assets_Depreciation'!D20</f>
        <v>333550</v>
      </c>
      <c r="E417" s="6">
        <f>'09_Assets_Depreciation'!E20</f>
        <v>333550</v>
      </c>
      <c r="F417" s="6">
        <f>'09_Assets_Depreciation'!F20</f>
        <v>333550</v>
      </c>
      <c r="G417" s="6">
        <f>'09_Assets_Depreciation'!G20</f>
        <v>333550</v>
      </c>
      <c r="H417" s="6">
        <f>'09_Assets_Depreciation'!H20</f>
        <v>313550</v>
      </c>
    </row>
    <row r="418" spans="1:8">
      <c r="A418" s="5" t="s">
        <v>625</v>
      </c>
      <c r="C418" s="12">
        <v>0</v>
      </c>
      <c r="D418" s="12">
        <f>D416-D417</f>
        <v>-754246</v>
      </c>
      <c r="E418" s="12">
        <f>E416-E417</f>
        <v>-274549.60000000009</v>
      </c>
      <c r="F418" s="12">
        <f>F416-F417</f>
        <v>254027.43439999968</v>
      </c>
      <c r="G418" s="12">
        <f>G416-G417</f>
        <v>608136.14074400114</v>
      </c>
      <c r="H418" s="12">
        <f>H416-H417</f>
        <v>896838.22879623808</v>
      </c>
    </row>
    <row r="419" spans="1:8">
      <c r="A419" s="5" t="s">
        <v>657</v>
      </c>
      <c r="C419" s="12">
        <v>0</v>
      </c>
      <c r="D419" s="6">
        <f>MAX(0,D418)*'04_Assumptions'!$C$40</f>
        <v>0</v>
      </c>
      <c r="E419" s="6">
        <f>MAX(0,E418)*'04_Assumptions'!$C$40</f>
        <v>0</v>
      </c>
      <c r="F419" s="6">
        <f>MAX(0,F418)*'04_Assumptions'!$C$40</f>
        <v>63938.705238479917</v>
      </c>
      <c r="G419" s="6">
        <f>MAX(0,G418)*'04_Assumptions'!$C$40</f>
        <v>153067.86662526507</v>
      </c>
      <c r="H419" s="6">
        <f>MAX(0,H418)*'04_Assumptions'!$C$40</f>
        <v>225734.1821880131</v>
      </c>
    </row>
    <row r="420" spans="1:8">
      <c r="A420" s="5" t="s">
        <v>732</v>
      </c>
      <c r="C420" s="12">
        <v>0</v>
      </c>
      <c r="D420" s="12">
        <f>D418-D419</f>
        <v>-754246</v>
      </c>
      <c r="E420" s="12">
        <f>E418-E419</f>
        <v>-274549.60000000009</v>
      </c>
      <c r="F420" s="12">
        <f>F418-F419</f>
        <v>190088.72916151976</v>
      </c>
      <c r="G420" s="12">
        <f>G418-G419</f>
        <v>455068.27411873604</v>
      </c>
      <c r="H420" s="12">
        <f>H418-H419</f>
        <v>671104.04660822498</v>
      </c>
    </row>
    <row r="421" spans="1:8">
      <c r="A421" s="5" t="s">
        <v>733</v>
      </c>
      <c r="C421" s="12">
        <v>0</v>
      </c>
      <c r="D421" s="6">
        <f>D413*'04_Assumptions'!$C$42/365+D414*'04_Assumptions'!$C$43/365-D414*'04_Assumptions'!$C$44/365</f>
        <v>9981.3698630137005</v>
      </c>
      <c r="E421" s="6">
        <f>E413*'04_Assumptions'!$C$42/365+E414*'04_Assumptions'!$C$43/365-E414*'04_Assumptions'!$C$44/365</f>
        <v>12576.52602739726</v>
      </c>
      <c r="F421" s="6">
        <f>F413*'04_Assumptions'!$C$42/365+F414*'04_Assumptions'!$C$43/365-F414*'04_Assumptions'!$C$44/365</f>
        <v>15406.244383561636</v>
      </c>
      <c r="G421" s="6">
        <f>G413*'04_Assumptions'!$C$42/365+G414*'04_Assumptions'!$C$43/365-G414*'04_Assumptions'!$C$44/365</f>
        <v>17563.118597260283</v>
      </c>
      <c r="H421" s="6">
        <f>H413*'04_Assumptions'!$C$42/365+H414*'04_Assumptions'!$C$43/365-H414*'04_Assumptions'!$C$44/365</f>
        <v>19411.867923287675</v>
      </c>
    </row>
    <row r="422" spans="1:8">
      <c r="A422" s="5" t="s">
        <v>734</v>
      </c>
      <c r="C422" s="12">
        <v>0</v>
      </c>
      <c r="D422" s="12">
        <f>D421-C421</f>
        <v>9981.3698630137005</v>
      </c>
      <c r="E422" s="12">
        <f>E421-D421</f>
        <v>2595.1561643835594</v>
      </c>
      <c r="F422" s="12">
        <f>F421-E421</f>
        <v>2829.718356164376</v>
      </c>
      <c r="G422" s="12">
        <f>G421-F421</f>
        <v>2156.8742136986475</v>
      </c>
      <c r="H422" s="12">
        <f>H421-G421</f>
        <v>1848.7493260273914</v>
      </c>
    </row>
    <row r="423" spans="1:8">
      <c r="A423" s="5" t="s">
        <v>735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6">
        <f>'15_Project_FCF'!H14+'15_Project_FCF'!H15+'15_Project_FCF'!H16</f>
        <v>958342.5</v>
      </c>
    </row>
    <row r="424" spans="1:8">
      <c r="A424" s="16" t="s">
        <v>673</v>
      </c>
      <c r="C424" s="76">
        <f>'15_Project_FCF'!C17</f>
        <v>-2929530</v>
      </c>
      <c r="D424" s="43">
        <f>D420+D417-D422+D423</f>
        <v>-430677.36986301368</v>
      </c>
      <c r="E424" s="43">
        <f>E420+E417-E422+E423</f>
        <v>56405.243835616347</v>
      </c>
      <c r="F424" s="43">
        <f>F420+F417-F422+F423</f>
        <v>520809.01080535538</v>
      </c>
      <c r="G424" s="43">
        <f>G420+G417-G422+G423</f>
        <v>786461.39990503737</v>
      </c>
      <c r="H424" s="43">
        <f>H420+H417-H422+H423</f>
        <v>1941147.7972821975</v>
      </c>
    </row>
    <row r="425" spans="1:8">
      <c r="A425" s="5" t="s">
        <v>736</v>
      </c>
      <c r="C425" s="12">
        <f>C424</f>
        <v>-2929530</v>
      </c>
      <c r="D425" s="12">
        <f>C425+D424</f>
        <v>-3360207.3698630137</v>
      </c>
      <c r="E425" s="12">
        <f>D425+E424</f>
        <v>-3303802.1260273973</v>
      </c>
      <c r="F425" s="12">
        <f>E425+F424</f>
        <v>-2782993.115222042</v>
      </c>
      <c r="G425" s="12">
        <f>F425+G424</f>
        <v>-1996531.7153170046</v>
      </c>
      <c r="H425" s="12">
        <f>G425+H424</f>
        <v>-55383.91803480708</v>
      </c>
    </row>
    <row r="426" spans="1:8">
      <c r="A426" s="5" t="s">
        <v>737</v>
      </c>
      <c r="D426" s="26">
        <f>IF(AND(C425&lt;0,D425&gt;=0),0+(-C425)/D424,0)</f>
        <v>0</v>
      </c>
      <c r="E426" s="26">
        <f>IF(AND(D425&lt;0,E425&gt;=0),1+(-D425)/E424,0)</f>
        <v>0</v>
      </c>
      <c r="F426" s="26">
        <f>IF(AND(E425&lt;0,F425&gt;=0),2+(-E425)/F424,0)</f>
        <v>0</v>
      </c>
      <c r="G426" s="26">
        <f>IF(AND(F425&lt;0,G425&gt;=0),3+(-F425)/G424,0)</f>
        <v>0</v>
      </c>
      <c r="H426" s="26">
        <f>IF(AND(G425&lt;0,H425&gt;=0),4+(-G425)/H424,0)</f>
        <v>0</v>
      </c>
    </row>
    <row r="427" spans="1:8">
      <c r="A427" s="16" t="s">
        <v>724</v>
      </c>
      <c r="C427" s="76">
        <f>C424+NPV('04_Assumptions'!$C$74,D424:H424)</f>
        <v>-1390066.6717785748</v>
      </c>
    </row>
    <row r="428" spans="1:8">
      <c r="A428" s="16" t="s">
        <v>725</v>
      </c>
      <c r="C428" s="77">
        <f>IFERROR(IRR(C424:H424),"n/a")</f>
        <v>-3.8859551859730958E-3</v>
      </c>
    </row>
    <row r="429" spans="1:8">
      <c r="A429" s="16" t="s">
        <v>738</v>
      </c>
      <c r="C429" s="78" t="str">
        <f>IF(SUM(D426:H426)=0,"&gt; 5 yrs",SUM(D426:H426))</f>
        <v>&gt; 5 yrs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8"/>
  <sheetViews>
    <sheetView showGridLines="0" workbookViewId="0">
      <selection activeCell="B10" sqref="B10"/>
    </sheetView>
  </sheetViews>
  <sheetFormatPr defaultColWidth="8.6640625" defaultRowHeight="13.8"/>
  <cols>
    <col min="1" max="1" width="36" style="2" customWidth="1"/>
    <col min="2" max="2" width="40" style="2" customWidth="1"/>
    <col min="3" max="3" width="52" style="2" customWidth="1"/>
    <col min="4" max="8" width="15" style="2" customWidth="1"/>
    <col min="9" max="10" width="5" style="2" customWidth="1"/>
    <col min="11" max="16384" width="8.6640625" style="2"/>
  </cols>
  <sheetData>
    <row r="1" spans="1:3" ht="17.399999999999999">
      <c r="A1" s="1" t="s">
        <v>776</v>
      </c>
    </row>
    <row r="2" spans="1:3">
      <c r="A2" s="49" t="s">
        <v>777</v>
      </c>
    </row>
    <row r="4" spans="1:3">
      <c r="A4" s="4" t="s">
        <v>778</v>
      </c>
      <c r="B4" s="4" t="s">
        <v>255</v>
      </c>
      <c r="C4" s="4" t="s">
        <v>779</v>
      </c>
    </row>
    <row r="5" spans="1:3">
      <c r="A5" s="83" t="s">
        <v>780</v>
      </c>
      <c r="B5" s="84" t="s">
        <v>781</v>
      </c>
      <c r="C5" s="85" t="s">
        <v>782</v>
      </c>
    </row>
    <row r="6" spans="1:3">
      <c r="A6" s="83" t="s">
        <v>783</v>
      </c>
      <c r="B6" s="86">
        <f>'06_Investment_Funding'!B15</f>
        <v>2929530</v>
      </c>
      <c r="C6" s="85" t="s">
        <v>784</v>
      </c>
    </row>
    <row r="7" spans="1:3">
      <c r="A7" s="83" t="s">
        <v>721</v>
      </c>
      <c r="B7" s="86">
        <f>'12_Income_Statement'!D6</f>
        <v>3960000</v>
      </c>
      <c r="C7" s="85" t="s">
        <v>785</v>
      </c>
    </row>
    <row r="8" spans="1:3">
      <c r="A8" s="83" t="s">
        <v>722</v>
      </c>
      <c r="B8" s="86">
        <f>'12_Income_Statement'!H6</f>
        <v>7701447.5999999996</v>
      </c>
      <c r="C8" s="85" t="s">
        <v>786</v>
      </c>
    </row>
    <row r="9" spans="1:3">
      <c r="A9" s="83" t="s">
        <v>723</v>
      </c>
      <c r="B9" s="86">
        <f>'12_Income_Statement'!H10</f>
        <v>1830144.6013301983</v>
      </c>
      <c r="C9" s="85" t="s">
        <v>787</v>
      </c>
    </row>
    <row r="10" spans="1:3">
      <c r="A10" s="83" t="s">
        <v>788</v>
      </c>
      <c r="B10" s="86">
        <f>'12_Income_Statement'!H16</f>
        <v>1112946.0671853875</v>
      </c>
      <c r="C10" s="85" t="s">
        <v>789</v>
      </c>
    </row>
    <row r="11" spans="1:3">
      <c r="A11" s="83" t="s">
        <v>672</v>
      </c>
      <c r="B11" s="87">
        <f>'16_Appraisal'!C6</f>
        <v>0.13291500000000001</v>
      </c>
      <c r="C11" s="85" t="s">
        <v>790</v>
      </c>
    </row>
    <row r="12" spans="1:3">
      <c r="A12" s="83" t="s">
        <v>724</v>
      </c>
      <c r="B12" s="86">
        <f>'16_Appraisal'!C15</f>
        <v>203004.09969634889</v>
      </c>
      <c r="C12" s="85" t="s">
        <v>791</v>
      </c>
    </row>
    <row r="13" spans="1:3">
      <c r="A13" s="83" t="s">
        <v>680</v>
      </c>
      <c r="B13" s="87">
        <f>'16_Appraisal'!C17</f>
        <v>0.15261854563751551</v>
      </c>
      <c r="C13" s="85" t="s">
        <v>792</v>
      </c>
    </row>
    <row r="14" spans="1:3">
      <c r="A14" s="83" t="s">
        <v>738</v>
      </c>
      <c r="B14" s="88">
        <f>'16_Appraisal'!C19</f>
        <v>4.0792895381624081</v>
      </c>
      <c r="C14" s="85" t="s">
        <v>793</v>
      </c>
    </row>
    <row r="15" spans="1:3">
      <c r="A15" s="83" t="s">
        <v>794</v>
      </c>
      <c r="B15" s="89">
        <f>'17_Break_Even'!B11</f>
        <v>72.87464488636364</v>
      </c>
      <c r="C15" s="85" t="s">
        <v>795</v>
      </c>
    </row>
    <row r="16" spans="1:3">
      <c r="A16" s="83" t="s">
        <v>796</v>
      </c>
      <c r="B16" s="86">
        <f>'17_Break_Even'!B12</f>
        <v>3847781.25</v>
      </c>
      <c r="C16" s="85" t="s">
        <v>797</v>
      </c>
    </row>
    <row r="17" spans="1:8">
      <c r="A17" s="83" t="s">
        <v>798</v>
      </c>
      <c r="B17" s="90" t="str">
        <f>'16_Appraisal'!C22</f>
        <v>Invest with Conditions</v>
      </c>
      <c r="C17" s="85" t="s">
        <v>799</v>
      </c>
    </row>
    <row r="18" spans="1:8">
      <c r="A18" s="83" t="s">
        <v>800</v>
      </c>
      <c r="B18" s="90" t="str">
        <f>'19_Sensitivity'!B27</f>
        <v>Selling price</v>
      </c>
      <c r="C18" s="85" t="s">
        <v>801</v>
      </c>
    </row>
    <row r="19" spans="1:8">
      <c r="A19" s="83" t="s">
        <v>802</v>
      </c>
      <c r="B19" s="86">
        <f>'18_Scenarios'!E12</f>
        <v>-4892237.0726745948</v>
      </c>
      <c r="C19" s="85" t="s">
        <v>803</v>
      </c>
    </row>
    <row r="20" spans="1:8">
      <c r="A20" s="83" t="s">
        <v>804</v>
      </c>
      <c r="B20" s="91" t="str">
        <f>'18_Scenarios'!F12</f>
        <v>n/a</v>
      </c>
      <c r="C20" s="85" t="s">
        <v>805</v>
      </c>
    </row>
    <row r="21" spans="1:8">
      <c r="A21" s="83" t="s">
        <v>806</v>
      </c>
      <c r="B21" s="86">
        <f>'18_Scenarios'!E14</f>
        <v>4633870.3896933319</v>
      </c>
      <c r="C21" s="85" t="s">
        <v>807</v>
      </c>
    </row>
    <row r="24" spans="1:8">
      <c r="A24" s="4" t="s">
        <v>808</v>
      </c>
      <c r="D24" s="4" t="s">
        <v>276</v>
      </c>
      <c r="E24" s="4" t="s">
        <v>495</v>
      </c>
      <c r="F24" s="4" t="s">
        <v>496</v>
      </c>
      <c r="G24" s="4" t="s">
        <v>497</v>
      </c>
      <c r="H24" s="4" t="s">
        <v>465</v>
      </c>
    </row>
    <row r="25" spans="1:8">
      <c r="A25" s="5" t="s">
        <v>608</v>
      </c>
      <c r="C25" s="5" t="s">
        <v>608</v>
      </c>
      <c r="D25" s="6">
        <f>'12_Income_Statement'!D6</f>
        <v>3960000</v>
      </c>
      <c r="E25" s="6">
        <f>'12_Income_Statement'!E6</f>
        <v>4989600</v>
      </c>
      <c r="F25" s="6">
        <f>'12_Income_Statement'!F6</f>
        <v>6112260</v>
      </c>
      <c r="G25" s="6">
        <f>'12_Income_Statement'!G6</f>
        <v>6967976.4000000013</v>
      </c>
      <c r="H25" s="6">
        <f>'12_Income_Statement'!H6</f>
        <v>7701447.5999999996</v>
      </c>
    </row>
    <row r="26" spans="1:8">
      <c r="A26" s="5" t="s">
        <v>623</v>
      </c>
      <c r="C26" s="5" t="s">
        <v>623</v>
      </c>
      <c r="D26" s="6">
        <f>'12_Income_Statement'!D10</f>
        <v>71820</v>
      </c>
      <c r="E26" s="6">
        <f>'12_Income_Statement'!E10</f>
        <v>581391</v>
      </c>
      <c r="F26" s="6">
        <f>'12_Income_Statement'!F10</f>
        <v>1141622.2619999996</v>
      </c>
      <c r="G26" s="6">
        <f>'12_Income_Statement'!G10</f>
        <v>1527989.2666200013</v>
      </c>
      <c r="H26" s="6">
        <f>'12_Income_Statement'!H10</f>
        <v>1830144.6013301983</v>
      </c>
    </row>
    <row r="27" spans="1:8">
      <c r="A27" s="5" t="s">
        <v>628</v>
      </c>
      <c r="C27" s="5" t="s">
        <v>628</v>
      </c>
      <c r="D27" s="6">
        <f>'12_Income_Statement'!D16</f>
        <v>-408206.5</v>
      </c>
      <c r="E27" s="6">
        <f>'12_Income_Statement'!E16</f>
        <v>97772.728340000001</v>
      </c>
      <c r="F27" s="6">
        <f>'12_Income_Statement'!F16</f>
        <v>538915.45468459977</v>
      </c>
      <c r="G27" s="6">
        <f>'12_Income_Statement'!G16</f>
        <v>849955.55723174685</v>
      </c>
      <c r="H27" s="6">
        <f>'12_Income_Statement'!H16</f>
        <v>1112946.0671853875</v>
      </c>
    </row>
    <row r="28" spans="1:8">
      <c r="A28" s="5" t="s">
        <v>673</v>
      </c>
      <c r="C28" s="5" t="s">
        <v>673</v>
      </c>
      <c r="D28" s="6">
        <f>'15_Project_FCF'!D17</f>
        <v>61838.630136986299</v>
      </c>
      <c r="E28" s="6">
        <f>'15_Project_FCF'!E17</f>
        <v>516414.26413561642</v>
      </c>
      <c r="F28" s="6">
        <f>'15_Project_FCF'!F17</f>
        <v>935400.75529843534</v>
      </c>
      <c r="G28" s="6">
        <f>'15_Project_FCF'!G17</f>
        <v>1225192.0289980485</v>
      </c>
      <c r="H28" s="6">
        <f>'15_Project_FCF'!H17</f>
        <v>2404911.4908493599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selection activeCell="B7" sqref="B7"/>
    </sheetView>
  </sheetViews>
  <sheetFormatPr defaultColWidth="8.6640625" defaultRowHeight="13.8"/>
  <cols>
    <col min="1" max="1" width="30" style="2" customWidth="1"/>
    <col min="2" max="2" width="60" style="2" customWidth="1"/>
    <col min="3" max="4" width="34" style="2" customWidth="1"/>
    <col min="5" max="16384" width="8.6640625" style="2"/>
  </cols>
  <sheetData>
    <row r="1" spans="1:4" ht="17.399999999999999">
      <c r="A1" s="1" t="s">
        <v>809</v>
      </c>
    </row>
    <row r="2" spans="1:4">
      <c r="A2" s="3" t="s">
        <v>810</v>
      </c>
    </row>
    <row r="4" spans="1:4">
      <c r="A4" s="4" t="s">
        <v>811</v>
      </c>
      <c r="B4" s="4" t="s">
        <v>812</v>
      </c>
      <c r="C4" s="4" t="s">
        <v>813</v>
      </c>
      <c r="D4" s="4" t="s">
        <v>814</v>
      </c>
    </row>
    <row r="5" spans="1:4" ht="33.75" customHeight="1">
      <c r="A5" s="68" t="s">
        <v>815</v>
      </c>
      <c r="B5" s="68" t="s">
        <v>816</v>
      </c>
      <c r="C5" s="92" t="str">
        <f>"NPV ₹"&amp;TEXT('16_Appraisal'!C15,"#,##0")&amp;" | IRR "&amp;TEXT('16_Appraisal'!C17,"0.0%")</f>
        <v>NPV ₹203,004 | IRR 15.3%</v>
      </c>
      <c r="D5" s="68" t="s">
        <v>817</v>
      </c>
    </row>
    <row r="6" spans="1:4" ht="33.75" customHeight="1">
      <c r="A6" s="68" t="s">
        <v>818</v>
      </c>
      <c r="B6" s="68" t="s">
        <v>819</v>
      </c>
      <c r="C6" s="68" t="s">
        <v>820</v>
      </c>
      <c r="D6" s="68" t="s">
        <v>821</v>
      </c>
    </row>
    <row r="7" spans="1:4" ht="33.75" customHeight="1">
      <c r="A7" s="68" t="s">
        <v>822</v>
      </c>
      <c r="B7" s="68" t="s">
        <v>823</v>
      </c>
      <c r="C7" s="68" t="s">
        <v>824</v>
      </c>
      <c r="D7" s="68" t="s">
        <v>825</v>
      </c>
    </row>
    <row r="8" spans="1:4" ht="33.75" customHeight="1">
      <c r="A8" s="68" t="s">
        <v>826</v>
      </c>
      <c r="B8" s="68" t="s">
        <v>827</v>
      </c>
      <c r="C8" s="92" t="str">
        <f>TEXT('05_Operating_Drivers'!D11,"#,##0")&amp;" customers in Year 1"</f>
        <v>24,750 customers in Year 1</v>
      </c>
      <c r="D8" s="68" t="s">
        <v>828</v>
      </c>
    </row>
    <row r="9" spans="1:4" ht="33.75" customHeight="1">
      <c r="A9" s="68" t="s">
        <v>829</v>
      </c>
      <c r="B9" s="68" t="s">
        <v>830</v>
      </c>
      <c r="C9" s="92" t="str">
        <f>"Investment ₹"&amp;TEXT('06_Investment_Funding'!B15,"#,##0")</f>
        <v>Investment ₹2,929,530</v>
      </c>
      <c r="D9" s="68" t="s">
        <v>831</v>
      </c>
    </row>
    <row r="10" spans="1:4" ht="33.75" customHeight="1">
      <c r="A10" s="68" t="s">
        <v>832</v>
      </c>
      <c r="B10" s="68" t="s">
        <v>833</v>
      </c>
      <c r="C10" s="68" t="s">
        <v>834</v>
      </c>
      <c r="D10" s="68" t="s">
        <v>18</v>
      </c>
    </row>
    <row r="11" spans="1:4" ht="33.75" customHeight="1">
      <c r="A11" s="68" t="s">
        <v>835</v>
      </c>
      <c r="B11" s="68" t="s">
        <v>836</v>
      </c>
      <c r="C11" s="92" t="str">
        <f>"Year-5 revenue ₹"&amp;TEXT('12_Income_Statement'!H6,"#,##0")</f>
        <v>Year-5 revenue ₹7,701,448</v>
      </c>
      <c r="D11" s="68" t="s">
        <v>837</v>
      </c>
    </row>
    <row r="12" spans="1:4" ht="33.75" customHeight="1">
      <c r="A12" s="68" t="s">
        <v>838</v>
      </c>
      <c r="B12" s="68" t="s">
        <v>839</v>
      </c>
      <c r="C12" s="92" t="str">
        <f>"Payback "&amp;TEXT('16_Appraisal'!C19,"0.0")&amp;" years"</f>
        <v>Payback 4.1 years</v>
      </c>
      <c r="D12" s="68" t="s">
        <v>840</v>
      </c>
    </row>
    <row r="13" spans="1:4" ht="33.75" customHeight="1">
      <c r="A13" s="68" t="s">
        <v>841</v>
      </c>
      <c r="B13" s="68" t="s">
        <v>842</v>
      </c>
      <c r="C13" s="92" t="str">
        <f>TEXT('17_Break_Even'!B11,"#,##0")&amp;" customers/day to break even (Year 1)"</f>
        <v>73 customers/day to break even (Year 1)</v>
      </c>
      <c r="D13" s="68" t="s">
        <v>843</v>
      </c>
    </row>
    <row r="14" spans="1:4" ht="33.75" customHeight="1">
      <c r="A14" s="68" t="s">
        <v>844</v>
      </c>
      <c r="B14" s="68" t="s">
        <v>845</v>
      </c>
      <c r="C14" s="92" t="str">
        <f>"Most sensitive: "&amp;'19_Sensitivity'!B27</f>
        <v>Most sensitive: Selling price</v>
      </c>
      <c r="D14" s="68" t="s">
        <v>846</v>
      </c>
    </row>
    <row r="15" spans="1:4" ht="33.75" customHeight="1">
      <c r="A15" s="68" t="s">
        <v>847</v>
      </c>
      <c r="B15" s="68" t="s">
        <v>848</v>
      </c>
      <c r="C15" s="92" t="str">
        <f>'16_Appraisal'!C22</f>
        <v>Invest with Conditions</v>
      </c>
      <c r="D15" s="68" t="s">
        <v>817</v>
      </c>
    </row>
    <row r="16" spans="1:4" ht="33.75" customHeight="1">
      <c r="A16" s="68" t="s">
        <v>849</v>
      </c>
      <c r="B16" s="68" t="s">
        <v>850</v>
      </c>
      <c r="C16" s="68" t="s">
        <v>851</v>
      </c>
      <c r="D16" s="68" t="s">
        <v>852</v>
      </c>
    </row>
    <row r="17" spans="1:4" ht="33.75" customHeight="1">
      <c r="A17" s="68" t="s">
        <v>853</v>
      </c>
      <c r="B17" s="68" t="s">
        <v>854</v>
      </c>
      <c r="C17" s="68" t="s">
        <v>855</v>
      </c>
      <c r="D17" s="68" t="s">
        <v>856</v>
      </c>
    </row>
    <row r="18" spans="1:4" ht="33.75" customHeight="1">
      <c r="A18" s="68" t="s">
        <v>857</v>
      </c>
      <c r="B18" s="68" t="s">
        <v>858</v>
      </c>
      <c r="C18" s="68" t="s">
        <v>859</v>
      </c>
      <c r="D18" s="68" t="s">
        <v>860</v>
      </c>
    </row>
    <row r="21" spans="1:4">
      <c r="A21" s="16" t="s">
        <v>861</v>
      </c>
    </row>
    <row r="22" spans="1:4">
      <c r="A22" s="85" t="s">
        <v>862</v>
      </c>
      <c r="B22" s="85" t="s">
        <v>863</v>
      </c>
    </row>
    <row r="23" spans="1:4">
      <c r="A23" s="85" t="s">
        <v>864</v>
      </c>
      <c r="B23" s="85" t="s">
        <v>865</v>
      </c>
    </row>
    <row r="24" spans="1:4">
      <c r="A24" s="85" t="s">
        <v>866</v>
      </c>
      <c r="B24" s="85" t="s">
        <v>867</v>
      </c>
    </row>
    <row r="25" spans="1:4">
      <c r="A25" s="85" t="s">
        <v>868</v>
      </c>
      <c r="B25" s="85" t="s">
        <v>869</v>
      </c>
    </row>
    <row r="26" spans="1:4">
      <c r="A26" s="85" t="s">
        <v>870</v>
      </c>
      <c r="B26" s="85" t="s">
        <v>871</v>
      </c>
    </row>
    <row r="27" spans="1:4">
      <c r="A27" s="85" t="s">
        <v>872</v>
      </c>
      <c r="B27" s="85" t="s">
        <v>873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7"/>
  <sheetViews>
    <sheetView showGridLines="0" workbookViewId="0">
      <selection activeCell="C24" sqref="C24"/>
    </sheetView>
  </sheetViews>
  <sheetFormatPr defaultColWidth="8.6640625" defaultRowHeight="13.8"/>
  <cols>
    <col min="1" max="1" width="52" style="2" customWidth="1"/>
    <col min="2" max="2" width="14" style="2" customWidth="1"/>
    <col min="3" max="3" width="90" style="2" customWidth="1"/>
    <col min="4" max="4" width="20" style="2" customWidth="1"/>
    <col min="5" max="16384" width="8.6640625" style="2"/>
  </cols>
  <sheetData>
    <row r="1" spans="1:3" ht="17.399999999999999">
      <c r="A1" s="1" t="s">
        <v>874</v>
      </c>
    </row>
    <row r="2" spans="1:3">
      <c r="A2" s="49" t="s">
        <v>875</v>
      </c>
    </row>
    <row r="4" spans="1:3">
      <c r="A4" s="4" t="s">
        <v>876</v>
      </c>
      <c r="B4" s="4" t="s">
        <v>877</v>
      </c>
      <c r="C4" s="4" t="s">
        <v>878</v>
      </c>
    </row>
    <row r="5" spans="1:3">
      <c r="A5" s="85" t="s">
        <v>879</v>
      </c>
      <c r="B5" s="93" t="str">
        <f>IF(ABS('06_Investment_Funding'!B22)&lt;1,"PASS","FAIL")</f>
        <v>PASS</v>
      </c>
      <c r="C5" s="85" t="s">
        <v>880</v>
      </c>
    </row>
    <row r="6" spans="1:3">
      <c r="A6" s="85" t="s">
        <v>881</v>
      </c>
      <c r="B6" s="93" t="str">
        <f>IF(SUMPRODUCT(ABS('14_Balance_Sheet'!C22:H22))&lt;1,"PASS","FAIL")</f>
        <v>PASS</v>
      </c>
      <c r="C6" s="85" t="s">
        <v>882</v>
      </c>
    </row>
    <row r="7" spans="1:3">
      <c r="A7" s="85" t="s">
        <v>883</v>
      </c>
      <c r="B7" s="93" t="str">
        <f>IF(ABS('10_Debt_Schedule'!H9)&lt;1,"PASS","FAIL")</f>
        <v>PASS</v>
      </c>
      <c r="C7" s="85" t="s">
        <v>884</v>
      </c>
    </row>
    <row r="8" spans="1:3">
      <c r="A8" s="85" t="s">
        <v>885</v>
      </c>
      <c r="B8" s="93" t="str">
        <f>IF(ABS(SUM('12_Income_Statement'!D11:H11)-SUM('09_Assets_Depreciation'!D20:H20))&lt;1,"PASS","FAIL")</f>
        <v>PASS</v>
      </c>
      <c r="C8" s="85" t="s">
        <v>886</v>
      </c>
    </row>
    <row r="9" spans="1:3">
      <c r="A9" s="85" t="s">
        <v>887</v>
      </c>
      <c r="B9" s="93" t="str">
        <f>IF(ABS('13_Cash_Flow'!H21-'14_Balance_Sheet'!H10)&lt;1,"PASS","FAIL")</f>
        <v>PASS</v>
      </c>
      <c r="C9" s="85" t="s">
        <v>888</v>
      </c>
    </row>
    <row r="10" spans="1:3">
      <c r="A10" s="85" t="s">
        <v>889</v>
      </c>
      <c r="B10" s="93" t="str">
        <f>IF(ABS(SUM('15_Project_FCF'!D6:H6)-SUM('12_Income_Statement'!D12:H12))&lt;1,"PASS","FAIL")</f>
        <v>PASS</v>
      </c>
      <c r="C10" s="85" t="s">
        <v>890</v>
      </c>
    </row>
    <row r="11" spans="1:3">
      <c r="A11" s="85" t="s">
        <v>891</v>
      </c>
      <c r="B11" s="93" t="str">
        <f>IF(ABS(SUM('16_Appraisal'!C8:H8)-SUM('15_Project_FCF'!C17:H17))&lt;1,"PASS","FAIL")</f>
        <v>PASS</v>
      </c>
      <c r="C11" s="85" t="s">
        <v>892</v>
      </c>
    </row>
    <row r="12" spans="1:3">
      <c r="A12" s="85" t="s">
        <v>893</v>
      </c>
      <c r="B12" s="93" t="str">
        <f>IF(ABS('16_Appraisal'!C15-'16_Appraisal'!C16)&lt;1,"PASS","FAIL")</f>
        <v>PASS</v>
      </c>
      <c r="C12" s="85" t="s">
        <v>894</v>
      </c>
    </row>
    <row r="13" spans="1:3">
      <c r="A13" s="85" t="s">
        <v>895</v>
      </c>
      <c r="B13" s="93" t="str">
        <f>IF(ABS('18_Scenarios'!E16)&lt;1,"PASS","FAIL")</f>
        <v>PASS</v>
      </c>
      <c r="C13" s="85" t="s">
        <v>896</v>
      </c>
    </row>
    <row r="14" spans="1:3">
      <c r="A14" s="85" t="s">
        <v>897</v>
      </c>
      <c r="B14" s="93" t="str">
        <f>IF(ABS('19_Sensitivity'!E28)&lt;1,"PASS","FAIL")</f>
        <v>PASS</v>
      </c>
      <c r="C14" s="85" t="s">
        <v>898</v>
      </c>
    </row>
    <row r="15" spans="1:3">
      <c r="A15" s="85" t="s">
        <v>899</v>
      </c>
      <c r="B15" s="93" t="str">
        <f>IF(ABS('20_Dashboard'!B12-'16_Appraisal'!C15)&lt;1,"PASS","FAIL")</f>
        <v>PASS</v>
      </c>
      <c r="C15" s="85" t="s">
        <v>900</v>
      </c>
    </row>
    <row r="16" spans="1:3">
      <c r="A16" s="85" t="s">
        <v>901</v>
      </c>
      <c r="B16" s="93" t="str">
        <f>IF('17_Break_Even'!B7&gt;0,"PASS","FAIL")</f>
        <v>PASS</v>
      </c>
      <c r="C16" s="85" t="s">
        <v>902</v>
      </c>
    </row>
    <row r="17" spans="1:3">
      <c r="A17" s="16" t="s">
        <v>903</v>
      </c>
      <c r="B17" s="94" t="str">
        <f>IF(COUNTIF(B5:B16,"PASS")=12,"ALL PASS","REVIEW")</f>
        <v>ALL PASS</v>
      </c>
    </row>
    <row r="20" spans="1:3" ht="26.4">
      <c r="A20" s="4" t="s">
        <v>904</v>
      </c>
      <c r="B20" s="4"/>
      <c r="C20" s="4" t="s">
        <v>905</v>
      </c>
    </row>
    <row r="21" spans="1:3" ht="45.75" customHeight="1">
      <c r="A21" s="72" t="s">
        <v>906</v>
      </c>
      <c r="B21" s="85"/>
      <c r="C21" s="68" t="s">
        <v>907</v>
      </c>
    </row>
    <row r="22" spans="1:3" ht="45.75" customHeight="1">
      <c r="A22" s="72" t="s">
        <v>908</v>
      </c>
      <c r="B22" s="85"/>
      <c r="C22" s="68" t="s">
        <v>909</v>
      </c>
    </row>
    <row r="23" spans="1:3" ht="45.75" customHeight="1">
      <c r="A23" s="72" t="s">
        <v>910</v>
      </c>
      <c r="B23" s="85"/>
      <c r="C23" s="92" t="str">
        <f>"Start with capacity: "&amp;'04_Assumptions'!$C$6&amp;" seats × "&amp;TEXT('05_Operating_Drivers'!D7,"0.0")&amp;" turns/day × "&amp;'04_Assumptions'!$C$7&amp;" days = "&amp;TEXT('05_Operating_Drivers'!D11,"#,##0")&amp;" customers. Turns ramp up in later years as the café becomes known."</f>
        <v>Start with capacity: 30 seats × 2.5 turns/day × 330 days = 24,750 customers. Turns ramp up in later years as the café becomes known.</v>
      </c>
    </row>
    <row r="24" spans="1:3" ht="45.75" customHeight="1">
      <c r="A24" s="72" t="s">
        <v>911</v>
      </c>
      <c r="B24" s="85"/>
      <c r="C24" s="68" t="s">
        <v>912</v>
      </c>
    </row>
    <row r="25" spans="1:3" ht="45.75" customHeight="1">
      <c r="A25" s="72" t="s">
        <v>913</v>
      </c>
      <c r="B25" s="85"/>
      <c r="C25" s="68" t="s">
        <v>914</v>
      </c>
    </row>
    <row r="26" spans="1:3" ht="45.75" customHeight="1">
      <c r="A26" s="72" t="s">
        <v>915</v>
      </c>
      <c r="B26" s="85"/>
      <c r="C26" s="68" t="s">
        <v>916</v>
      </c>
    </row>
    <row r="27" spans="1:3" ht="45.75" customHeight="1">
      <c r="A27" s="72" t="s">
        <v>917</v>
      </c>
      <c r="B27" s="85"/>
      <c r="C27" s="68" t="s">
        <v>918</v>
      </c>
    </row>
    <row r="28" spans="1:3" ht="45.75" customHeight="1">
      <c r="A28" s="72" t="s">
        <v>919</v>
      </c>
      <c r="B28" s="85"/>
      <c r="C28" s="92" t="str">
        <f>"WACC of "&amp;TEXT('16_Appraisal'!C6,"0.0%")&amp;": cost of equity (risk-free 7.1% + market premium + start-up premium) blended with after-tax cost of debt at a 50:50 funding mix."</f>
        <v>WACC of 13.3%: cost of equity (risk-free 7.1% + market premium + start-up premium) blended with after-tax cost of debt at a 50:50 funding mix.</v>
      </c>
    </row>
    <row r="29" spans="1:3" ht="45.75" customHeight="1">
      <c r="A29" s="72" t="s">
        <v>920</v>
      </c>
      <c r="B29" s="85"/>
      <c r="C29" s="68" t="s">
        <v>921</v>
      </c>
    </row>
    <row r="30" spans="1:3" ht="45.75" customHeight="1">
      <c r="A30" s="72" t="s">
        <v>922</v>
      </c>
      <c r="B30" s="85"/>
      <c r="C30" s="68" t="s">
        <v>923</v>
      </c>
    </row>
    <row r="31" spans="1:3" ht="45.75" customHeight="1">
      <c r="A31" s="72" t="s">
        <v>924</v>
      </c>
      <c r="B31" s="85"/>
      <c r="C31" s="68" t="s">
        <v>925</v>
      </c>
    </row>
    <row r="32" spans="1:3" ht="45.75" customHeight="1">
      <c r="A32" s="72" t="s">
        <v>926</v>
      </c>
      <c r="B32" s="85"/>
      <c r="C32" s="92" t="str">
        <f>TEXT('17_Break_Even'!B11,"#,##0")&amp;" customers per day in Year 1 (fixed costs ÷ contribution per customer). Projected Year-1 volume is "&amp;TEXT('05_Operating_Drivers'!D12,"#,##0")&amp;" per day."</f>
        <v>73 customers per day in Year 1 (fixed costs ÷ contribution per customer). Projected Year-1 volume is 75 per day.</v>
      </c>
    </row>
    <row r="33" spans="1:3" ht="45.75" customHeight="1">
      <c r="A33" s="72" t="s">
        <v>927</v>
      </c>
      <c r="B33" s="85"/>
      <c r="C33" s="92" t="str">
        <f>"See 19_Sensitivity. NPV at −20% volume is ₹"&amp;TEXT('19_Sensitivity'!C8,"#,##0")&amp;" versus ₹"&amp;TEXT('16_Appraisal'!C15,"#,##0")&amp;" base."</f>
        <v>See 19_Sensitivity. NPV at −20% volume is ₹-1,893,398 versus ₹203,004 base.</v>
      </c>
    </row>
    <row r="34" spans="1:3" ht="45.75" customHeight="1">
      <c r="A34" s="72" t="s">
        <v>928</v>
      </c>
      <c r="B34" s="85"/>
      <c r="C34" s="92" t="str">
        <f>'18_Scenarios'!B17</f>
        <v>Pessimistic scenario: NPV falls by ₹5,095,241 versus base</v>
      </c>
    </row>
    <row r="35" spans="1:3" ht="45.75" customHeight="1">
      <c r="A35" s="72" t="s">
        <v>929</v>
      </c>
      <c r="B35" s="85"/>
      <c r="C35" s="92" t="str">
        <f>"According to the sensitivity ranking: "&amp;'19_Sensitivity'!B27&amp;"."</f>
        <v>According to the sensitivity ranking: Selling price.</v>
      </c>
    </row>
    <row r="36" spans="1:3" ht="45.75" customHeight="1">
      <c r="A36" s="72" t="s">
        <v>930</v>
      </c>
      <c r="B36" s="85"/>
      <c r="C36" s="68" t="s">
        <v>931</v>
      </c>
    </row>
    <row r="37" spans="1:3" ht="45.75" customHeight="1">
      <c r="A37" s="72" t="s">
        <v>932</v>
      </c>
      <c r="B37" s="85"/>
      <c r="C37" s="68" t="s">
        <v>933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00_Cover</vt:lpstr>
      <vt:lpstr>01_Project_Definition</vt:lpstr>
      <vt:lpstr>02_Data_Sources</vt:lpstr>
      <vt:lpstr>03_AI_Research_Log</vt:lpstr>
      <vt:lpstr>04_Assumptions</vt:lpstr>
      <vt:lpstr>05_Operating_Drivers</vt:lpstr>
      <vt:lpstr>06_Investment_Funding</vt:lpstr>
      <vt:lpstr>07_Revenue_Model</vt:lpstr>
      <vt:lpstr>08_Cost_Model</vt:lpstr>
      <vt:lpstr>09_Assets_Depreciation</vt:lpstr>
      <vt:lpstr>10_Debt_Schedule</vt:lpstr>
      <vt:lpstr>11_Working_Capital</vt:lpstr>
      <vt:lpstr>12_Income_Statement</vt:lpstr>
      <vt:lpstr>13_Cash_Flow</vt:lpstr>
      <vt:lpstr>14_Balance_Sheet</vt:lpstr>
      <vt:lpstr>15_Project_FCF</vt:lpstr>
      <vt:lpstr>16_Appraisal</vt:lpstr>
      <vt:lpstr>17_Break_Even</vt:lpstr>
      <vt:lpstr>18_Scenarios</vt:lpstr>
      <vt:lpstr>19_Sensitivity</vt:lpstr>
      <vt:lpstr>20_Dashboard</vt:lpstr>
      <vt:lpstr>21_Report_Pitch</vt:lpstr>
      <vt:lpstr>22_QA_Viva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cp:revision>1</cp:revision>
  <dcterms:created xsi:type="dcterms:W3CDTF">2026-09-30T10:14:45Z</dcterms:created>
  <dcterms:modified xsi:type="dcterms:W3CDTF">2026-10-02T07:14:44Z</dcterms:modified>
  <dc:language>en-US</dc:language>
</cp:coreProperties>
</file>